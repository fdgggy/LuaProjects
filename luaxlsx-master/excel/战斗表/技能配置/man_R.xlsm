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说明" sheetId="4" r:id="rId4"/>
    <sheet name="框选定义匹配" sheetId="9" r:id="rId5"/>
    <sheet name="Sheet2" sheetId="8" r:id="rId6"/>
    <sheet name="Sheet6" sheetId="13" r:id="rId7"/>
    <sheet name="生成的json" sheetId="14" r:id="rId8"/>
  </sheets>
  <definedNames>
    <definedName name="_xlnm._FilterDatabase" localSheetId="0" hidden="1">D_技能效果表!$A$1:$V$50</definedName>
    <definedName name="_xlnm._FilterDatabase" localSheetId="3" hidden="1">说明!$C$2:$C$32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9" i="3" l="1"/>
  <c r="I8" i="3" l="1"/>
  <c r="I18" i="3" l="1"/>
  <c r="A18" i="3"/>
  <c r="A6" i="3" l="1"/>
  <c r="I6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29" i="3"/>
  <c r="I21" i="3"/>
  <c r="I22" i="3"/>
  <c r="I23" i="3"/>
  <c r="I24" i="3"/>
  <c r="I25" i="3"/>
  <c r="I26" i="3"/>
  <c r="I27" i="3"/>
  <c r="I20" i="3"/>
  <c r="I9" i="3"/>
  <c r="I10" i="3"/>
  <c r="I11" i="3"/>
  <c r="I12" i="3"/>
  <c r="I13" i="3"/>
  <c r="I14" i="3"/>
  <c r="I15" i="3"/>
  <c r="I16" i="3"/>
  <c r="I17" i="3"/>
  <c r="I7" i="3"/>
  <c r="I5" i="3"/>
  <c r="A94" i="3" l="1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99" i="3"/>
  <c r="A55" i="3"/>
  <c r="A69" i="3"/>
  <c r="A98" i="3"/>
  <c r="A97" i="3"/>
  <c r="A96" i="3"/>
  <c r="A95" i="3"/>
  <c r="A62" i="3"/>
  <c r="A61" i="3"/>
  <c r="A60" i="3"/>
  <c r="A66" i="3" l="1"/>
  <c r="A63" i="3"/>
  <c r="A74" i="3"/>
  <c r="A73" i="3"/>
  <c r="A72" i="3"/>
  <c r="A71" i="3"/>
  <c r="A68" i="3"/>
  <c r="A65" i="3"/>
  <c r="A67" i="3"/>
  <c r="A64" i="3"/>
  <c r="A59" i="3"/>
  <c r="A58" i="3"/>
  <c r="A57" i="3"/>
  <c r="A56" i="3"/>
  <c r="A46" i="3" l="1"/>
  <c r="A39" i="3"/>
  <c r="A29" i="3"/>
  <c r="A20" i="3"/>
  <c r="A47" i="3" l="1"/>
  <c r="A52" i="3"/>
  <c r="A49" i="3"/>
  <c r="A48" i="3"/>
  <c r="A42" i="3"/>
  <c r="A41" i="3" l="1"/>
  <c r="A32" i="3" l="1"/>
  <c r="A33" i="3"/>
  <c r="A31" i="3"/>
  <c r="A45" i="3" l="1"/>
  <c r="A26" i="3"/>
  <c r="A40" i="3"/>
  <c r="A30" i="3"/>
  <c r="A53" i="3" l="1"/>
  <c r="W35" i="13" l="1"/>
  <c r="U35" i="13"/>
  <c r="S35" i="13"/>
  <c r="Q35" i="13"/>
  <c r="O35" i="13"/>
  <c r="M35" i="13"/>
  <c r="K35" i="13"/>
  <c r="I35" i="13"/>
  <c r="W34" i="13"/>
  <c r="U34" i="13"/>
  <c r="S34" i="13"/>
  <c r="Q34" i="13"/>
  <c r="O34" i="13"/>
  <c r="M34" i="13"/>
  <c r="K34" i="13"/>
  <c r="I34" i="13"/>
  <c r="W33" i="13"/>
  <c r="U33" i="13"/>
  <c r="S33" i="13"/>
  <c r="Q33" i="13"/>
  <c r="O33" i="13"/>
  <c r="M33" i="13"/>
  <c r="K33" i="13"/>
  <c r="I33" i="13"/>
  <c r="W32" i="13"/>
  <c r="U32" i="13"/>
  <c r="S32" i="13"/>
  <c r="Q32" i="13"/>
  <c r="O32" i="13"/>
  <c r="M32" i="13"/>
  <c r="K32" i="13"/>
  <c r="I32" i="13"/>
  <c r="W31" i="13"/>
  <c r="U31" i="13"/>
  <c r="S31" i="13"/>
  <c r="Q31" i="13"/>
  <c r="O31" i="13"/>
  <c r="M31" i="13"/>
  <c r="K31" i="13"/>
  <c r="I31" i="13"/>
  <c r="W30" i="13"/>
  <c r="U30" i="13"/>
  <c r="S30" i="13"/>
  <c r="Q30" i="13"/>
  <c r="O30" i="13"/>
  <c r="M30" i="13"/>
  <c r="K30" i="13"/>
  <c r="I30" i="13"/>
  <c r="W29" i="13"/>
  <c r="U29" i="13"/>
  <c r="S29" i="13"/>
  <c r="Q29" i="13"/>
  <c r="O29" i="13"/>
  <c r="M29" i="13"/>
  <c r="K29" i="13"/>
  <c r="I29" i="13"/>
  <c r="W28" i="13"/>
  <c r="U28" i="13"/>
  <c r="S28" i="13"/>
  <c r="Q28" i="13"/>
  <c r="O28" i="13"/>
  <c r="M28" i="13"/>
  <c r="K28" i="13"/>
  <c r="I28" i="13"/>
  <c r="U27" i="13"/>
  <c r="S27" i="13"/>
  <c r="Q27" i="13"/>
  <c r="O27" i="13"/>
  <c r="M27" i="13"/>
  <c r="K27" i="13"/>
  <c r="A27" i="13"/>
  <c r="W26" i="13"/>
  <c r="U26" i="13"/>
  <c r="S26" i="13"/>
  <c r="Q26" i="13"/>
  <c r="O26" i="13"/>
  <c r="M26" i="13"/>
  <c r="K26" i="13"/>
  <c r="A26" i="13"/>
  <c r="U24" i="13"/>
  <c r="S24" i="13"/>
  <c r="Q24" i="13"/>
  <c r="O24" i="13"/>
  <c r="M24" i="13"/>
  <c r="K24" i="13"/>
  <c r="A24" i="13"/>
  <c r="W23" i="13"/>
  <c r="U23" i="13"/>
  <c r="S23" i="13"/>
  <c r="Q23" i="13"/>
  <c r="O23" i="13"/>
  <c r="M23" i="13"/>
  <c r="K23" i="13"/>
  <c r="A23" i="13"/>
  <c r="S22" i="13"/>
  <c r="Q22" i="13"/>
  <c r="O22" i="13"/>
  <c r="M22" i="13"/>
  <c r="K22" i="13"/>
  <c r="A22" i="13"/>
  <c r="U21" i="13"/>
  <c r="S21" i="13"/>
  <c r="Q21" i="13"/>
  <c r="O21" i="13"/>
  <c r="M21" i="13"/>
  <c r="K21" i="13"/>
  <c r="A21" i="13"/>
  <c r="W20" i="13"/>
  <c r="U20" i="13"/>
  <c r="S20" i="13"/>
  <c r="Q20" i="13"/>
  <c r="O20" i="13"/>
  <c r="M20" i="13"/>
  <c r="K20" i="13"/>
  <c r="A20" i="13"/>
  <c r="W19" i="13"/>
  <c r="U19" i="13"/>
  <c r="S19" i="13"/>
  <c r="Q19" i="13"/>
  <c r="O19" i="13"/>
  <c r="M19" i="13"/>
  <c r="K19" i="13"/>
  <c r="A19" i="13"/>
  <c r="AC18" i="13"/>
  <c r="AA18" i="13"/>
  <c r="Y18" i="13"/>
  <c r="W18" i="13"/>
  <c r="U18" i="13"/>
  <c r="S18" i="13"/>
  <c r="Q18" i="13"/>
  <c r="O18" i="13"/>
  <c r="M18" i="13"/>
  <c r="K18" i="13"/>
  <c r="U16" i="13"/>
  <c r="S16" i="13"/>
  <c r="Q16" i="13"/>
  <c r="O16" i="13"/>
  <c r="M16" i="13"/>
  <c r="K16" i="13"/>
  <c r="S15" i="13"/>
  <c r="Q15" i="13"/>
  <c r="O15" i="13"/>
  <c r="M15" i="13"/>
  <c r="K15" i="13"/>
  <c r="A15" i="13"/>
  <c r="U14" i="13"/>
  <c r="S14" i="13"/>
  <c r="Q14" i="13"/>
  <c r="O14" i="13"/>
  <c r="M14" i="13"/>
  <c r="K14" i="13"/>
  <c r="A14" i="13"/>
  <c r="O13" i="13"/>
  <c r="M13" i="13"/>
  <c r="K13" i="13"/>
  <c r="U12" i="13"/>
  <c r="S12" i="13"/>
  <c r="Q12" i="13"/>
  <c r="O12" i="13"/>
  <c r="M12" i="13"/>
  <c r="K12" i="13"/>
  <c r="A12" i="13"/>
  <c r="U11" i="13"/>
  <c r="S11" i="13"/>
  <c r="Q11" i="13"/>
  <c r="O11" i="13"/>
  <c r="M11" i="13"/>
  <c r="K11" i="13"/>
  <c r="A11" i="13"/>
  <c r="W10" i="13"/>
  <c r="U10" i="13"/>
  <c r="S10" i="13"/>
  <c r="Q10" i="13"/>
  <c r="O10" i="13"/>
  <c r="M10" i="13"/>
  <c r="K10" i="13"/>
  <c r="A10" i="13"/>
  <c r="U9" i="13"/>
  <c r="S9" i="13"/>
  <c r="Q9" i="13"/>
  <c r="O9" i="13"/>
  <c r="M9" i="13"/>
  <c r="K9" i="13"/>
  <c r="W8" i="13"/>
  <c r="U8" i="13"/>
  <c r="S8" i="13"/>
  <c r="Q8" i="13"/>
  <c r="O8" i="13"/>
  <c r="M8" i="13"/>
  <c r="K8" i="13"/>
  <c r="A8" i="13"/>
  <c r="W7" i="13"/>
  <c r="U7" i="13"/>
  <c r="S7" i="13"/>
  <c r="Q7" i="13"/>
  <c r="O7" i="13"/>
  <c r="M7" i="13"/>
  <c r="K7" i="13"/>
  <c r="A7" i="13"/>
  <c r="AC6" i="13"/>
  <c r="AA6" i="13"/>
  <c r="Y6" i="13"/>
  <c r="W6" i="13"/>
  <c r="U6" i="13"/>
  <c r="S6" i="13"/>
  <c r="Q6" i="13"/>
  <c r="O6" i="13"/>
  <c r="M6" i="13"/>
  <c r="K6" i="13"/>
  <c r="A6" i="13"/>
  <c r="A5" i="3" l="1"/>
  <c r="A24" i="3" l="1"/>
  <c r="I13" i="13" l="1"/>
  <c r="I18" i="13"/>
  <c r="I6" i="13"/>
  <c r="I9" i="13"/>
  <c r="I12" i="13"/>
  <c r="I14" i="13"/>
  <c r="I27" i="13"/>
  <c r="I21" i="13"/>
  <c r="I23" i="13"/>
  <c r="I10" i="13"/>
  <c r="I19" i="13"/>
  <c r="I7" i="13"/>
  <c r="I26" i="13"/>
  <c r="I24" i="13"/>
  <c r="I11" i="13"/>
  <c r="I16" i="13"/>
  <c r="I20" i="13"/>
  <c r="I8" i="13"/>
  <c r="I15" i="13"/>
  <c r="I22" i="13"/>
  <c r="A27" i="3"/>
  <c r="A21" i="3"/>
  <c r="A25" i="3"/>
  <c r="A37" i="3"/>
</calcChain>
</file>

<file path=xl/comments1.xml><?xml version="1.0" encoding="utf-8"?>
<comments xmlns="http://schemas.openxmlformats.org/spreadsheetml/2006/main">
  <authors>
    <author>作者</author>
    <author>bobuchen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声音名字(string)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7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x|y|z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特效制件名字(string)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特效时间(无效)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旋转(min|max)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缩放(min|max)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偏移(x|y|z)默认值(0|80|0)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硬值时间(float)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受击动作（默认值0，受击动作hurt1）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2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2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2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2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3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3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37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</t>
        </r>
      </text>
    </comment>
    <comment ref="L37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37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</t>
        </r>
      </text>
    </comment>
    <comment ref="N37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4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4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4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6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4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4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4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4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4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4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5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5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5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53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</t>
        </r>
      </text>
    </comment>
    <comment ref="N53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5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5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5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5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5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5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5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5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5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5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5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6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6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6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6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6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6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6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6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6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6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6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6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6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6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6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6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6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</t>
        </r>
      </text>
    </comment>
    <comment ref="L6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6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</t>
        </r>
      </text>
    </comment>
    <comment ref="N6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  <comment ref="H7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7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7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7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7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7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7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7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7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7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7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7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7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7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7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7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7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7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7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7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7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7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1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8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81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81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81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8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8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8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8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8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8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8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8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8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8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8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8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8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8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8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8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89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8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89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89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89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0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0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0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0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4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4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4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4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9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9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9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9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9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7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7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7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7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9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8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9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98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98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98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K99" authorId="1" shapeId="0">
      <text>
        <r>
          <rPr>
            <sz val="9"/>
            <color indexed="81"/>
            <rFont val="宋体"/>
            <family val="3"/>
            <charset val="134"/>
          </rPr>
          <t>监听类型
0.立即执行
1.点击该技能按钮
2.持续按住该技能松开后(蓄力)
3.点击任一技能按钮
4.进行移动操作</t>
        </r>
      </text>
    </comment>
    <comment ref="L99" authorId="1" shapeId="0">
      <text>
        <r>
          <rPr>
            <sz val="9"/>
            <color indexed="81"/>
            <rFont val="宋体"/>
            <family val="3"/>
            <charset val="134"/>
          </rPr>
          <t>监听时长
0则为招式结束时结束监听
超出招式时间即使招式结束监听仍然有效</t>
        </r>
      </text>
    </comment>
    <comment ref="M99" authorId="1" shapeId="0">
      <text>
        <r>
          <rPr>
            <sz val="9"/>
            <color indexed="81"/>
            <rFont val="宋体"/>
            <family val="3"/>
            <charset val="134"/>
          </rPr>
          <t>执行指令
1.中断技能
2.跳转技能ID
3.取消技能CD(即在该监听过程中不进入技能CD)
4.恢复技能CD</t>
        </r>
      </text>
    </comment>
    <comment ref="N99" authorId="1" shapeId="0">
      <text>
        <r>
          <rPr>
            <sz val="9"/>
            <color indexed="81"/>
            <rFont val="宋体"/>
            <family val="3"/>
            <charset val="134"/>
          </rPr>
          <t>对应指令参数1
指令1：无
指令2：技能ID
指令3：
指令4：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int</t>
        </r>
      </text>
    </comment>
  </commentList>
</comments>
</file>

<file path=xl/sharedStrings.xml><?xml version="1.0" encoding="utf-8"?>
<sst xmlns="http://schemas.openxmlformats.org/spreadsheetml/2006/main" count="2745" uniqueCount="885">
  <si>
    <t>效果ID</t>
    <phoneticPr fontId="4" type="noConversion"/>
  </si>
  <si>
    <t>动作ID</t>
    <phoneticPr fontId="4" type="noConversion"/>
  </si>
  <si>
    <t>动作时长</t>
    <phoneticPr fontId="4" type="noConversion"/>
  </si>
  <si>
    <t>消耗魔法值</t>
    <phoneticPr fontId="4" type="noConversion"/>
  </si>
  <si>
    <t>消耗气血值</t>
    <phoneticPr fontId="4" type="noConversion"/>
  </si>
  <si>
    <t>移动施展</t>
    <phoneticPr fontId="4" type="noConversion"/>
  </si>
  <si>
    <t>默认目标硬直</t>
    <phoneticPr fontId="4" type="noConversion"/>
  </si>
  <si>
    <t>默认目标特效</t>
    <phoneticPr fontId="4" type="noConversion"/>
  </si>
  <si>
    <t>默认震屏</t>
    <phoneticPr fontId="4" type="noConversion"/>
  </si>
  <si>
    <t>起手时间</t>
    <phoneticPr fontId="4" type="noConversion"/>
  </si>
  <si>
    <t>招式ID</t>
    <phoneticPr fontId="2" type="noConversion"/>
  </si>
  <si>
    <t>ID</t>
    <phoneticPr fontId="4" type="noConversion"/>
  </si>
  <si>
    <t>id</t>
    <phoneticPr fontId="4" type="noConversion"/>
  </si>
  <si>
    <t>actName</t>
    <phoneticPr fontId="4" type="noConversion"/>
  </si>
  <si>
    <t>actTime</t>
    <phoneticPr fontId="4" type="noConversion"/>
  </si>
  <si>
    <t>cmp</t>
    <phoneticPr fontId="4" type="noConversion"/>
  </si>
  <si>
    <t>chp</t>
    <phoneticPr fontId="4" type="noConversion"/>
  </si>
  <si>
    <t>canmove</t>
    <phoneticPr fontId="4" type="noConversion"/>
  </si>
  <si>
    <t>dtarget</t>
    <phoneticPr fontId="4" type="noConversion"/>
  </si>
  <si>
    <t>deffect</t>
    <phoneticPr fontId="4" type="noConversion"/>
  </si>
  <si>
    <t>isShock</t>
    <phoneticPr fontId="4" type="noConversion"/>
  </si>
  <si>
    <t>时间点</t>
    <phoneticPr fontId="2" type="noConversion"/>
  </si>
  <si>
    <t>范围：Z1</t>
    <phoneticPr fontId="2" type="noConversion"/>
  </si>
  <si>
    <t>指令ID</t>
    <phoneticPr fontId="4" type="noConversion"/>
  </si>
  <si>
    <t>指令参数1</t>
    <phoneticPr fontId="4" type="noConversion"/>
  </si>
  <si>
    <t>指令参数2</t>
    <phoneticPr fontId="4" type="noConversion"/>
  </si>
  <si>
    <t>指令参数3</t>
    <phoneticPr fontId="4" type="noConversion"/>
  </si>
  <si>
    <t>指令参数4</t>
    <phoneticPr fontId="4" type="noConversion"/>
  </si>
  <si>
    <t>重复次数</t>
    <phoneticPr fontId="4" type="noConversion"/>
  </si>
  <si>
    <t>间隔时间</t>
    <phoneticPr fontId="4" type="noConversion"/>
  </si>
  <si>
    <t>筛选目标</t>
    <phoneticPr fontId="4" type="noConversion"/>
  </si>
  <si>
    <t>范围：X1</t>
    <phoneticPr fontId="4" type="noConversion"/>
  </si>
  <si>
    <t>范围：X2</t>
    <phoneticPr fontId="4" type="noConversion"/>
  </si>
  <si>
    <t>范围：Y1</t>
    <phoneticPr fontId="4" type="noConversion"/>
  </si>
  <si>
    <t>范围：Y2</t>
    <phoneticPr fontId="4" type="noConversion"/>
  </si>
  <si>
    <t>范围：Z2</t>
    <phoneticPr fontId="4" type="noConversion"/>
  </si>
  <si>
    <t>管理号</t>
    <phoneticPr fontId="4" type="noConversion"/>
  </si>
  <si>
    <t>effectId</t>
    <phoneticPr fontId="4" type="noConversion"/>
  </si>
  <si>
    <t>指令名称</t>
    <phoneticPr fontId="2" type="noConversion"/>
  </si>
  <si>
    <t>startTime</t>
    <phoneticPr fontId="2" type="noConversion"/>
  </si>
  <si>
    <t>技能指令</t>
    <phoneticPr fontId="4" type="noConversion"/>
  </si>
  <si>
    <t>需求说明</t>
    <phoneticPr fontId="4" type="noConversion"/>
  </si>
  <si>
    <t>参数1</t>
    <phoneticPr fontId="2" type="noConversion"/>
  </si>
  <si>
    <t>参数3</t>
  </si>
  <si>
    <t>参数4</t>
  </si>
  <si>
    <t>参数5</t>
  </si>
  <si>
    <t>参数6</t>
  </si>
  <si>
    <t>参数7</t>
    <phoneticPr fontId="2" type="noConversion"/>
  </si>
  <si>
    <t>可筛选目标</t>
    <phoneticPr fontId="2" type="noConversion"/>
  </si>
  <si>
    <t>伤害</t>
    <phoneticPr fontId="2" type="noConversion"/>
  </si>
  <si>
    <t>当对目标产生伤害时，自身动作停顿相应时间，同时技能停止相应时间</t>
    <phoneticPr fontId="2" type="noConversion"/>
  </si>
  <si>
    <t>修改目标的默认受击动作，即后续受到伤害都使用该动作</t>
    <phoneticPr fontId="2" type="noConversion"/>
  </si>
  <si>
    <t>对目标产生相应的硬直</t>
    <phoneticPr fontId="2" type="noConversion"/>
  </si>
  <si>
    <t>目标动作停顿相应时间</t>
    <phoneticPr fontId="2" type="noConversion"/>
  </si>
  <si>
    <t>在一定时间内令目标移动相应的X轴和Z轴位移
移动过程目标处于硬直状态</t>
    <phoneticPr fontId="2" type="noConversion"/>
  </si>
  <si>
    <t>到达最高点时间
秒为单位</t>
    <phoneticPr fontId="2" type="noConversion"/>
  </si>
  <si>
    <t>续飞</t>
    <phoneticPr fontId="2" type="noConversion"/>
  </si>
  <si>
    <t>在一定时间内将目标打飞一定高度，同时造成相应的X轴和Z轴位移
在
仅对浮空和跳跃状态的目标有效</t>
    <phoneticPr fontId="2" type="noConversion"/>
  </si>
  <si>
    <t>待定</t>
    <phoneticPr fontId="2" type="noConversion"/>
  </si>
  <si>
    <t>自身移动一定距离</t>
    <phoneticPr fontId="2" type="noConversion"/>
  </si>
  <si>
    <t>锁定当前目标的位置，在一段时间内移动到该位置</t>
    <phoneticPr fontId="2" type="noConversion"/>
  </si>
  <si>
    <t>在范围内随机位置，播放模型自身的特效，或者公共特效库中的特效</t>
    <phoneticPr fontId="2" type="noConversion"/>
  </si>
  <si>
    <r>
      <t>播放声音文件内的某个声音资源
参数：</t>
    </r>
    <r>
      <rPr>
        <b/>
        <sz val="11"/>
        <color theme="1"/>
        <rFont val="宋体"/>
        <family val="3"/>
        <charset val="134"/>
        <scheme val="minor"/>
      </rPr>
      <t>声音文件名</t>
    </r>
    <phoneticPr fontId="2" type="noConversion"/>
  </si>
  <si>
    <t>在该指令生效后，在监听时间内进行持续监听，在监听类型触发时，执行相应的指令。可同时进行多个监听。</t>
    <phoneticPr fontId="2" type="noConversion"/>
  </si>
  <si>
    <t>回复血量=回血值+自身血量上限*百分比
需要显示回血上飘数值</t>
    <phoneticPr fontId="2" type="noConversion"/>
  </si>
  <si>
    <t>回复蓝量=回蓝值+自身蓝量上限*百分比
需要显示回蓝上飘数值</t>
    <phoneticPr fontId="2" type="noConversion"/>
  </si>
  <si>
    <t>场景变色
待定</t>
    <phoneticPr fontId="2" type="noConversion"/>
  </si>
  <si>
    <t>在目标身上位置显示吟唱进度条。技能中断时进度条淡化消失。</t>
    <phoneticPr fontId="2" type="noConversion"/>
  </si>
  <si>
    <t>用于怪物AI，怪物移动到该范围内时才可使用该技能。
如果没有配置，则按所有伤害指令中范围最大的</t>
    <phoneticPr fontId="2" type="noConversion"/>
  </si>
  <si>
    <t>直接扣除自身的生命</t>
    <phoneticPr fontId="2" type="noConversion"/>
  </si>
  <si>
    <t>自身停顿</t>
    <phoneticPr fontId="2" type="noConversion"/>
  </si>
  <si>
    <t>目标硬直</t>
    <phoneticPr fontId="2" type="noConversion"/>
  </si>
  <si>
    <t>目标停顿</t>
    <phoneticPr fontId="2" type="noConversion"/>
  </si>
  <si>
    <t>续飞</t>
    <phoneticPr fontId="2" type="noConversion"/>
  </si>
  <si>
    <t>击倒</t>
    <phoneticPr fontId="2" type="noConversion"/>
  </si>
  <si>
    <t>自身移动</t>
    <phoneticPr fontId="2" type="noConversion"/>
  </si>
  <si>
    <t>锁定目标移动</t>
    <phoneticPr fontId="2" type="noConversion"/>
  </si>
  <si>
    <t>加BUFF</t>
    <phoneticPr fontId="2" type="noConversion"/>
  </si>
  <si>
    <t>播放特效</t>
    <phoneticPr fontId="2" type="noConversion"/>
  </si>
  <si>
    <t>震屏</t>
    <phoneticPr fontId="2" type="noConversion"/>
  </si>
  <si>
    <t>声音</t>
    <phoneticPr fontId="2" type="noConversion"/>
  </si>
  <si>
    <t>技能监听</t>
    <phoneticPr fontId="2" type="noConversion"/>
  </si>
  <si>
    <t>召唤怪物</t>
    <phoneticPr fontId="2" type="noConversion"/>
  </si>
  <si>
    <t>回血</t>
    <phoneticPr fontId="2" type="noConversion"/>
  </si>
  <si>
    <t>回蓝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</si>
  <si>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</si>
  <si>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</si>
  <si>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</si>
  <si>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</si>
  <si>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</si>
  <si>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</si>
  <si>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</si>
  <si>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</si>
  <si>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t>跳跃</t>
    <phoneticPr fontId="2" type="noConversion"/>
  </si>
  <si>
    <t>args1</t>
    <phoneticPr fontId="2" type="noConversion"/>
  </si>
  <si>
    <t>args2</t>
    <phoneticPr fontId="2" type="noConversion"/>
  </si>
  <si>
    <t>args3</t>
    <phoneticPr fontId="2" type="noConversion"/>
  </si>
  <si>
    <t>args4</t>
    <phoneticPr fontId="2" type="noConversion"/>
  </si>
  <si>
    <t>maxX</t>
    <phoneticPr fontId="2" type="noConversion"/>
  </si>
  <si>
    <t>minX</t>
    <phoneticPr fontId="2" type="noConversion"/>
  </si>
  <si>
    <t>minY</t>
    <phoneticPr fontId="2" type="noConversion"/>
  </si>
  <si>
    <t>maxY</t>
    <phoneticPr fontId="2" type="noConversion"/>
  </si>
  <si>
    <t>minZ</t>
    <phoneticPr fontId="2" type="noConversion"/>
  </si>
  <si>
    <t>maxZ</t>
    <phoneticPr fontId="2" type="noConversion"/>
  </si>
  <si>
    <t>mangerId</t>
    <phoneticPr fontId="2" type="noConversion"/>
  </si>
  <si>
    <t>repeatTimes</t>
    <phoneticPr fontId="2" type="noConversion"/>
  </si>
  <si>
    <t>noSupperTime</t>
    <phoneticPr fontId="4" type="noConversion"/>
  </si>
  <si>
    <t>Id</t>
    <phoneticPr fontId="2" type="noConversion"/>
  </si>
  <si>
    <t>intervalTime</t>
  </si>
  <si>
    <t>cmdType</t>
    <phoneticPr fontId="2" type="noConversion"/>
  </si>
  <si>
    <t>指令参数5</t>
    <phoneticPr fontId="2" type="noConversion"/>
  </si>
  <si>
    <t>指令参数6</t>
    <phoneticPr fontId="2" type="noConversion"/>
  </si>
  <si>
    <t>指令参数7</t>
    <phoneticPr fontId="2" type="noConversion"/>
  </si>
  <si>
    <t>args5</t>
  </si>
  <si>
    <t>args6</t>
  </si>
  <si>
    <t>args7</t>
  </si>
  <si>
    <t>指令参数8</t>
  </si>
  <si>
    <t>指令参数9</t>
  </si>
  <si>
    <t>指令参数10</t>
  </si>
  <si>
    <t>args8</t>
  </si>
  <si>
    <t>args9</t>
  </si>
  <si>
    <t>args10</t>
  </si>
  <si>
    <t>优先级</t>
    <phoneticPr fontId="4" type="noConversion"/>
  </si>
  <si>
    <t>参数2</t>
    <phoneticPr fontId="2" type="noConversion"/>
  </si>
  <si>
    <t>需要范围参数</t>
    <phoneticPr fontId="2" type="noConversion"/>
  </si>
  <si>
    <t>是</t>
    <phoneticPr fontId="2" type="noConversion"/>
  </si>
  <si>
    <t>自身停顿</t>
    <phoneticPr fontId="2" type="noConversion"/>
  </si>
  <si>
    <t>停顿时间
秒为单位</t>
    <phoneticPr fontId="2" type="noConversion"/>
  </si>
  <si>
    <r>
      <t>命中目标</t>
    </r>
    <r>
      <rPr>
        <sz val="11"/>
        <color rgb="FFFF0000"/>
        <rFont val="宋体"/>
        <family val="3"/>
        <charset val="134"/>
        <scheme val="minor"/>
      </rPr>
      <t xml:space="preserve">
1不需要
0需要</t>
    </r>
    <phoneticPr fontId="2" type="noConversion"/>
  </si>
  <si>
    <t>目标受击特效</t>
    <phoneticPr fontId="2" type="noConversion"/>
  </si>
  <si>
    <t>当对目标产生伤害时，目标身上产生受击特效</t>
    <phoneticPr fontId="2" type="noConversion"/>
  </si>
  <si>
    <t>特效ID</t>
    <phoneticPr fontId="2" type="noConversion"/>
  </si>
  <si>
    <t>特效时间
秒为单位</t>
    <phoneticPr fontId="2" type="noConversion"/>
  </si>
  <si>
    <t>特效旋转角度</t>
    <phoneticPr fontId="2" type="noConversion"/>
  </si>
  <si>
    <r>
      <t>特效缩放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</si>
  <si>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</t>
    </r>
    <phoneticPr fontId="2" type="noConversion"/>
  </si>
  <si>
    <t>受击动作</t>
    <phoneticPr fontId="2" type="noConversion"/>
  </si>
  <si>
    <t>站立受击动作ID</t>
    <phoneticPr fontId="2" type="noConversion"/>
  </si>
  <si>
    <t>动作时间
秒为单位</t>
    <phoneticPr fontId="2" type="noConversion"/>
  </si>
  <si>
    <t>浮空受击动作ID</t>
    <phoneticPr fontId="2" type="noConversion"/>
  </si>
  <si>
    <t>目标硬直</t>
    <phoneticPr fontId="2" type="noConversion"/>
  </si>
  <si>
    <t>硬直时间
秒为单位</t>
    <phoneticPr fontId="2" type="noConversion"/>
  </si>
  <si>
    <t>目标停顿</t>
    <phoneticPr fontId="2" type="noConversion"/>
  </si>
  <si>
    <t>目标移动</t>
    <phoneticPr fontId="2" type="noConversion"/>
  </si>
  <si>
    <t>移动过程时间
秒为单位</t>
    <phoneticPr fontId="2" type="noConversion"/>
  </si>
  <si>
    <t>打飞</t>
    <phoneticPr fontId="2" type="noConversion"/>
  </si>
  <si>
    <t>到达最高点时间
秒为单位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</si>
  <si>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</si>
  <si>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t>最大高度限制
参数作用同上</t>
    <phoneticPr fontId="2" type="noConversion"/>
  </si>
  <si>
    <t>是</t>
    <phoneticPr fontId="2" type="noConversion"/>
  </si>
  <si>
    <t>击倒</t>
    <phoneticPr fontId="2" type="noConversion"/>
  </si>
  <si>
    <t>倒地时间</t>
    <phoneticPr fontId="2" type="noConversion"/>
  </si>
  <si>
    <t>自身移动</t>
    <phoneticPr fontId="2" type="noConversion"/>
  </si>
  <si>
    <t>锁定目标移动</t>
    <phoneticPr fontId="2" type="noConversion"/>
  </si>
  <si>
    <t>加BUFF</t>
    <phoneticPr fontId="2" type="noConversion"/>
  </si>
  <si>
    <t>BUFF id</t>
    <phoneticPr fontId="2" type="noConversion"/>
  </si>
  <si>
    <t>附加概率</t>
    <phoneticPr fontId="2" type="noConversion"/>
  </si>
  <si>
    <t>持续时间
秒为单位</t>
    <phoneticPr fontId="2" type="noConversion"/>
  </si>
  <si>
    <t>播放特效</t>
    <phoneticPr fontId="2" type="noConversion"/>
  </si>
  <si>
    <t>特效缩放百分比</t>
    <phoneticPr fontId="2" type="noConversion"/>
  </si>
  <si>
    <t>子弹(物件)</t>
    <phoneticPr fontId="2" type="noConversion"/>
  </si>
  <si>
    <t>震屏</t>
    <phoneticPr fontId="2" type="noConversion"/>
  </si>
  <si>
    <t>振幅</t>
    <phoneticPr fontId="2" type="noConversion"/>
  </si>
  <si>
    <r>
      <t xml:space="preserve">频率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</si>
  <si>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</si>
  <si>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0一起震动
1不一起震动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</si>
  <si>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</si>
  <si>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t>声音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</si>
  <si>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</si>
  <si>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1.点击技能按钮
2.持续按住松开后(蓄力)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</si>
  <si>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
4.进入技能CD</t>
    </r>
    <phoneticPr fontId="2" type="noConversion"/>
  </si>
  <si>
    <r>
      <t xml:space="preserve">监听时长
秒为单位
</t>
    </r>
    <r>
      <rPr>
        <sz val="11"/>
        <color rgb="FFFF0000"/>
        <rFont val="宋体"/>
        <family val="3"/>
        <charset val="134"/>
        <scheme val="minor"/>
      </rPr>
      <t>0则为招式结束时结束监听</t>
    </r>
    <phoneticPr fontId="2" type="noConversion"/>
  </si>
  <si>
    <t>召唤怪物</t>
    <phoneticPr fontId="2" type="noConversion"/>
  </si>
  <si>
    <t>怪物ID</t>
    <phoneticPr fontId="2" type="noConversion"/>
  </si>
  <si>
    <t>数量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</si>
  <si>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</si>
  <si>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</t>
    <phoneticPr fontId="2" type="noConversion"/>
  </si>
  <si>
    <t>跟随范围
(暂时不做)</t>
    <phoneticPr fontId="2" type="noConversion"/>
  </si>
  <si>
    <t>回血</t>
    <phoneticPr fontId="2" type="noConversion"/>
  </si>
  <si>
    <t>回血值</t>
    <phoneticPr fontId="2" type="noConversion"/>
  </si>
  <si>
    <t>血量百分比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</si>
  <si>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</si>
  <si>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</si>
  <si>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</si>
  <si>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</si>
  <si>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</si>
  <si>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</si>
  <si>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</si>
  <si>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r>
      <t xml:space="preserve">
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</si>
  <si>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AI释放技能范围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</si>
  <si>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</si>
  <si>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</si>
  <si>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</si>
  <si>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</si>
  <si>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</si>
  <si>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</si>
  <si>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</si>
  <si>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</si>
  <si>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</si>
  <si>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</si>
  <si>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跳跃</t>
    <phoneticPr fontId="2" type="noConversion"/>
  </si>
  <si>
    <t>伤害数值</t>
    <phoneticPr fontId="2" type="noConversion"/>
  </si>
  <si>
    <t>伤害百分比</t>
    <phoneticPr fontId="2" type="noConversion"/>
  </si>
  <si>
    <t>对目标造成伤害，并且执行默认的目标硬直和目标特效，在目标身上飘出伤害数值，并且目标播放受击动作</t>
    <phoneticPr fontId="2" type="noConversion"/>
  </si>
  <si>
    <t>在一定时间内将目标打飞一定高度，同时造成相应的X轴和Z轴位移
在</t>
    <phoneticPr fontId="2" type="noConversion"/>
  </si>
  <si>
    <t>在某个范围内随机位置召唤怪物</t>
    <phoneticPr fontId="2" type="noConversion"/>
  </si>
  <si>
    <t>待定</t>
    <phoneticPr fontId="2" type="noConversion"/>
  </si>
  <si>
    <t>复活范围内的怪物，只有死亡后尸体未消失的可复活</t>
    <phoneticPr fontId="2" type="noConversion"/>
  </si>
  <si>
    <t>检测条件是否符合，符合则执行相应的指令</t>
    <phoneticPr fontId="2" type="noConversion"/>
  </si>
  <si>
    <t>st</t>
    <phoneticPr fontId="2" type="noConversion"/>
  </si>
  <si>
    <t>表现</t>
    <phoneticPr fontId="2" type="noConversion"/>
  </si>
  <si>
    <t>数据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</si>
  <si>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</si>
  <si>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</si>
  <si>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</si>
  <si>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4" type="noConversion"/>
  </si>
  <si>
    <t>str</t>
    <phoneticPr fontId="4" type="noConversion"/>
  </si>
  <si>
    <t>float</t>
    <phoneticPr fontId="4" type="noConversion"/>
  </si>
  <si>
    <t>时间点</t>
    <phoneticPr fontId="4" type="noConversion"/>
  </si>
  <si>
    <t>指令ID</t>
    <phoneticPr fontId="4" type="noConversion"/>
  </si>
  <si>
    <t>指令名称</t>
    <phoneticPr fontId="4" type="noConversion"/>
  </si>
  <si>
    <t>指令参数2</t>
    <phoneticPr fontId="4" type="noConversion"/>
  </si>
  <si>
    <t>指令参数4</t>
    <phoneticPr fontId="4" type="noConversion"/>
  </si>
  <si>
    <t>指令参数5</t>
    <phoneticPr fontId="4" type="noConversion"/>
  </si>
  <si>
    <t>指令参数6</t>
    <phoneticPr fontId="4" type="noConversion"/>
  </si>
  <si>
    <t>指令参数7</t>
    <phoneticPr fontId="4" type="noConversion"/>
  </si>
  <si>
    <t>指令参数8</t>
    <phoneticPr fontId="4" type="noConversion"/>
  </si>
  <si>
    <t>指令参数9</t>
    <phoneticPr fontId="4" type="noConversion"/>
  </si>
  <si>
    <t>指令参数10</t>
    <phoneticPr fontId="4" type="noConversion"/>
  </si>
  <si>
    <t>间隔时间</t>
    <phoneticPr fontId="4" type="noConversion"/>
  </si>
  <si>
    <t>Id</t>
    <phoneticPr fontId="4" type="noConversion"/>
  </si>
  <si>
    <t>startTime</t>
    <phoneticPr fontId="4" type="noConversion"/>
  </si>
  <si>
    <t>args2</t>
    <phoneticPr fontId="4" type="noConversion"/>
  </si>
  <si>
    <t>args3</t>
    <phoneticPr fontId="4" type="noConversion"/>
  </si>
  <si>
    <t>args4</t>
    <phoneticPr fontId="4" type="noConversion"/>
  </si>
  <si>
    <t>args5</t>
    <phoneticPr fontId="4" type="noConversion"/>
  </si>
  <si>
    <t>args6</t>
    <phoneticPr fontId="4" type="noConversion"/>
  </si>
  <si>
    <t>args7</t>
    <phoneticPr fontId="4" type="noConversion"/>
  </si>
  <si>
    <t>args8</t>
    <phoneticPr fontId="4" type="noConversion"/>
  </si>
  <si>
    <t>args9</t>
    <phoneticPr fontId="4" type="noConversion"/>
  </si>
  <si>
    <t>args10</t>
    <phoneticPr fontId="4" type="noConversion"/>
  </si>
  <si>
    <t>效果id</t>
    <phoneticPr fontId="4" type="noConversion"/>
  </si>
  <si>
    <t>指令ID</t>
    <phoneticPr fontId="2" type="noConversion"/>
  </si>
  <si>
    <t>float</t>
    <phoneticPr fontId="4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</si>
  <si>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</si>
  <si>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</si>
  <si>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</si>
  <si>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</si>
  <si>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</si>
  <si>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</si>
  <si>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</si>
  <si>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</si>
  <si>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参数9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</si>
  <si>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</si>
  <si>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</si>
  <si>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</si>
  <si>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停顿时间(float)</t>
    <phoneticPr fontId="2" type="noConversion"/>
  </si>
  <si>
    <t>特效制件名字(string)</t>
    <phoneticPr fontId="2" type="noConversion"/>
  </si>
  <si>
    <t>硬值时间(float)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</si>
  <si>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</si>
  <si>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</si>
  <si>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</si>
  <si>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</si>
  <si>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倒地时间(float)</t>
    <phoneticPr fontId="2" type="noConversion"/>
  </si>
  <si>
    <t>移动总时间(float)</t>
    <phoneticPr fontId="2" type="noConversion"/>
  </si>
  <si>
    <t>最大高度限制(int)</t>
    <phoneticPr fontId="2" type="noConversion"/>
  </si>
  <si>
    <t>移动过程时间
秒为单位(float)</t>
    <phoneticPr fontId="2" type="noConversion"/>
  </si>
  <si>
    <t>bufId(int)</t>
    <phoneticPr fontId="2" type="noConversion"/>
  </si>
  <si>
    <t>附加概率(float)</t>
    <phoneticPr fontId="2" type="noConversion"/>
  </si>
  <si>
    <t>持续时间(float)</t>
    <phoneticPr fontId="2" type="noConversion"/>
  </si>
  <si>
    <t>声音名字(string)</t>
    <phoneticPr fontId="2" type="noConversion"/>
  </si>
  <si>
    <t>怪物ID(int)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</si>
  <si>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</si>
  <si>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</si>
  <si>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</si>
  <si>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//参数定位</t>
    <phoneticPr fontId="4" type="noConversion"/>
  </si>
  <si>
    <t>动作名字注释</t>
    <phoneticPr fontId="4" type="noConversion"/>
  </si>
  <si>
    <t>int</t>
    <phoneticPr fontId="4" type="noConversion"/>
  </si>
  <si>
    <t>数据定位使用</t>
    <phoneticPr fontId="4" type="noConversion"/>
  </si>
  <si>
    <t>招式ID</t>
    <phoneticPr fontId="4" type="noConversion"/>
  </si>
  <si>
    <t>actId</t>
    <phoneticPr fontId="4" type="noConversion"/>
  </si>
  <si>
    <t>args1</t>
    <phoneticPr fontId="4" type="noConversion"/>
  </si>
  <si>
    <t>cmdType</t>
    <phoneticPr fontId="4" type="noConversion"/>
  </si>
  <si>
    <t>当不为0时，则效果重复多次生效
例：填1则重复1次，即总共生效2次</t>
    <phoneticPr fontId="2" type="noConversion"/>
  </si>
  <si>
    <t>每次重复的间隔时间
秒为单位</t>
    <phoneticPr fontId="2" type="noConversion"/>
  </si>
  <si>
    <t>覆盖</t>
    <phoneticPr fontId="2" type="noConversion"/>
  </si>
  <si>
    <t>打飞</t>
    <phoneticPr fontId="2" type="noConversion"/>
  </si>
  <si>
    <t>intervalTime</t>
    <phoneticPr fontId="4" type="noConversion"/>
  </si>
  <si>
    <t>repeatTimes</t>
    <phoneticPr fontId="4" type="noConversion"/>
  </si>
  <si>
    <t>mangerId</t>
    <phoneticPr fontId="4" type="noConversion"/>
  </si>
  <si>
    <t>一个招式里，管理号相同的相同指令对同个目标只生效1次
为0则无管理号限制</t>
    <phoneticPr fontId="2" type="noConversion"/>
  </si>
  <si>
    <t>自身移动</t>
  </si>
  <si>
    <t>产生</t>
    <phoneticPr fontId="2" type="noConversion"/>
  </si>
  <si>
    <t>引用</t>
    <phoneticPr fontId="2" type="noConversion"/>
  </si>
  <si>
    <t>时间点</t>
    <phoneticPr fontId="2" type="noConversion"/>
  </si>
  <si>
    <t>碰撞结果</t>
    <phoneticPr fontId="2" type="noConversion"/>
  </si>
  <si>
    <t>区域</t>
    <phoneticPr fontId="2" type="noConversion"/>
  </si>
  <si>
    <t>+</t>
    <phoneticPr fontId="2" type="noConversion"/>
  </si>
  <si>
    <t>选择目标</t>
    <phoneticPr fontId="2" type="noConversion"/>
  </si>
  <si>
    <t>=</t>
    <phoneticPr fontId="2" type="noConversion"/>
  </si>
  <si>
    <t>结果ID</t>
    <phoneticPr fontId="2" type="noConversion"/>
  </si>
  <si>
    <t>时间点</t>
    <phoneticPr fontId="2" type="noConversion"/>
  </si>
  <si>
    <t>目标硬直</t>
    <phoneticPr fontId="2" type="noConversion"/>
  </si>
  <si>
    <t>目标停顿</t>
    <phoneticPr fontId="2" type="noConversion"/>
  </si>
  <si>
    <t>目标移动</t>
    <phoneticPr fontId="2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</si>
  <si>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</si>
  <si>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</si>
  <si>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</si>
  <si>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自身移动</t>
    <phoneticPr fontId="2" type="noConversion"/>
  </si>
  <si>
    <t>锁定目标移动</t>
    <phoneticPr fontId="2" type="noConversion"/>
  </si>
  <si>
    <t>自身停顿</t>
    <phoneticPr fontId="2" type="noConversion"/>
  </si>
  <si>
    <t>伤害</t>
    <phoneticPr fontId="2" type="noConversion"/>
  </si>
  <si>
    <t>子弹持续的</t>
    <phoneticPr fontId="2" type="noConversion"/>
  </si>
  <si>
    <t>区域</t>
    <phoneticPr fontId="2" type="noConversion"/>
  </si>
  <si>
    <t>选择目标</t>
    <phoneticPr fontId="2" type="noConversion"/>
  </si>
  <si>
    <t>子弹结果ID</t>
    <phoneticPr fontId="2" type="noConversion"/>
  </si>
  <si>
    <t>子弹时间点</t>
    <phoneticPr fontId="2" type="noConversion"/>
  </si>
  <si>
    <t>碰撞结果</t>
    <phoneticPr fontId="2" type="noConversion"/>
  </si>
  <si>
    <t>碰撞ID</t>
    <phoneticPr fontId="4" type="noConversion"/>
  </si>
  <si>
    <t>子弹ID</t>
    <phoneticPr fontId="4" type="noConversion"/>
  </si>
  <si>
    <t>int</t>
    <phoneticPr fontId="4" type="noConversion"/>
  </si>
  <si>
    <t>碰撞框产生的ID,0表示没有</t>
    <phoneticPr fontId="4" type="noConversion"/>
  </si>
  <si>
    <t>子弹物体产生的ID，0表示没有</t>
    <phoneticPr fontId="4" type="noConversion"/>
  </si>
  <si>
    <t>碰撞结果</t>
    <phoneticPr fontId="2" type="noConversion"/>
  </si>
  <si>
    <t>子弹</t>
    <phoneticPr fontId="2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</si>
  <si>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</si>
  <si>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</si>
  <si>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</si>
  <si>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</si>
  <si>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</si>
  <si>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15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</si>
  <si>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</si>
  <si>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</si>
  <si>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</si>
  <si>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</si>
  <si>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</si>
  <si>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</si>
  <si>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</si>
  <si>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</si>
  <si>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</si>
  <si>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15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</si>
  <si>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</si>
  <si>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</si>
  <si>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</si>
  <si>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</si>
  <si>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</si>
  <si>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</si>
  <si>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</si>
  <si>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</si>
  <si>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</si>
  <si>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</si>
  <si>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</si>
  <si>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</si>
  <si>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</si>
  <si>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15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</si>
  <si>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</si>
  <si>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</si>
  <si>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</si>
  <si>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</si>
  <si>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</si>
  <si>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</si>
  <si>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15" type="noConversion"/>
  </si>
  <si>
    <t>回蓝</t>
    <phoneticPr fontId="2" type="noConversion"/>
  </si>
  <si>
    <t>回复蓝量=回蓝值+自身蓝量上限*百分比
目标身上显示回蓝上飘动画</t>
    <phoneticPr fontId="15" type="noConversion"/>
  </si>
  <si>
    <t>回蓝值</t>
    <phoneticPr fontId="2" type="noConversion"/>
  </si>
  <si>
    <t>镜头变速</t>
    <phoneticPr fontId="2" type="noConversion"/>
  </si>
  <si>
    <t>待定</t>
    <phoneticPr fontId="15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</si>
  <si>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</si>
  <si>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</si>
  <si>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</si>
  <si>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</si>
  <si>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</si>
  <si>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</si>
  <si>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</si>
  <si>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15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</si>
  <si>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</si>
  <si>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</si>
  <si>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</si>
  <si>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</si>
  <si>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</si>
  <si>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</si>
  <si>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15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</si>
  <si>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</si>
  <si>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</si>
  <si>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</si>
  <si>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15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</si>
  <si>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</si>
  <si>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</si>
  <si>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15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</si>
  <si>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</si>
  <si>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</si>
  <si>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</si>
  <si>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</si>
  <si>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</si>
  <si>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15" type="noConversion"/>
  </si>
  <si>
    <t>参数2</t>
    <phoneticPr fontId="15" type="noConversion"/>
  </si>
  <si>
    <t>参数3</t>
    <phoneticPr fontId="15" type="noConversion"/>
  </si>
  <si>
    <t>参数4</t>
    <phoneticPr fontId="15" type="noConversion"/>
  </si>
  <si>
    <t>召唤怪物</t>
    <phoneticPr fontId="2" type="noConversion"/>
  </si>
  <si>
    <t>在某个范围内随机位置召唤怪物</t>
    <phoneticPr fontId="15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</si>
  <si>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</si>
  <si>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</si>
  <si>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</si>
  <si>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</si>
  <si>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</si>
  <si>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</si>
  <si>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</si>
  <si>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</si>
  <si>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</si>
  <si>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</si>
  <si>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</si>
  <si>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</si>
  <si>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</si>
  <si>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</si>
  <si>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</si>
  <si>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4" type="noConversion"/>
  </si>
  <si>
    <t>技能指令</t>
    <phoneticPr fontId="4" type="noConversion"/>
  </si>
  <si>
    <t>指令说明</t>
    <phoneticPr fontId="15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</si>
  <si>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</si>
  <si>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</si>
  <si>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</si>
  <si>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</si>
  <si>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</si>
  <si>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</si>
  <si>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</si>
  <si>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</si>
  <si>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</si>
  <si>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</si>
  <si>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15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</si>
  <si>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</si>
  <si>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</si>
  <si>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</si>
  <si>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</si>
  <si>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</si>
  <si>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</si>
  <si>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</si>
  <si>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</si>
  <si>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</si>
  <si>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15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</si>
  <si>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15" type="noConversion"/>
  </si>
  <si>
    <t>直接扣除自身的生命</t>
    <phoneticPr fontId="15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</si>
  <si>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</si>
  <si>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15" type="noConversion"/>
  </si>
  <si>
    <t>复活范围内的怪物，只有死亡后尸体未消失的可复活</t>
    <phoneticPr fontId="15" type="noConversion"/>
  </si>
  <si>
    <t>用于怪物AI，怪物移动到该范围内时才可使用该技能。
如果没有配置，则按所有伤害指令中范围最大的</t>
    <phoneticPr fontId="15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</si>
  <si>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</si>
  <si>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</si>
  <si>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</si>
  <si>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</si>
  <si>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15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</si>
  <si>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</si>
  <si>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15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</si>
  <si>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</si>
  <si>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</si>
  <si>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</si>
  <si>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</si>
  <si>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</si>
  <si>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15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</si>
  <si>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</si>
  <si>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</si>
  <si>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15" type="noConversion"/>
  </si>
  <si>
    <t>否
可同时进行</t>
    <phoneticPr fontId="2" type="noConversion"/>
  </si>
  <si>
    <t>AI释放技能范围
待定</t>
    <phoneticPr fontId="2" type="noConversion"/>
  </si>
  <si>
    <t>技能监听</t>
  </si>
  <si>
    <t>对应指令参数1
指令1：无
指令2：技能ID
指令3：
指令4：</t>
    <phoneticPr fontId="15" type="noConversion"/>
  </si>
  <si>
    <t>碰撞结果</t>
  </si>
  <si>
    <t>伤害</t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</si>
  <si>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</si>
  <si>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</si>
  <si>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</si>
  <si>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</si>
  <si>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</si>
  <si>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筛选目标</t>
    <phoneticPr fontId="4" type="noConversion"/>
  </si>
  <si>
    <t>A</t>
    <phoneticPr fontId="4" type="noConversion"/>
  </si>
  <si>
    <t>selectTarget</t>
    <phoneticPr fontId="4" type="noConversion"/>
  </si>
  <si>
    <t>str</t>
    <phoneticPr fontId="4" type="noConversion"/>
  </si>
  <si>
    <t>FTBE</t>
    <phoneticPr fontId="4" type="noConversion"/>
  </si>
  <si>
    <t>目标推置</t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</si>
  <si>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</si>
  <si>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</si>
  <si>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</si>
  <si>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</si>
  <si>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</si>
  <si>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打飞</t>
  </si>
  <si>
    <t>单位都是100是1米</t>
    <phoneticPr fontId="4" type="noConversion"/>
  </si>
  <si>
    <t>//</t>
    <phoneticPr fontId="4" type="noConversion"/>
  </si>
  <si>
    <t>hitId</t>
    <phoneticPr fontId="4" type="noConversion"/>
  </si>
  <si>
    <t>bulletId</t>
    <phoneticPr fontId="4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</si>
  <si>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</si>
  <si>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</si>
  <si>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15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</si>
  <si>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</si>
  <si>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TBE</t>
    <phoneticPr fontId="4" type="noConversion"/>
  </si>
  <si>
    <t>最高点时间(float)</t>
    <phoneticPr fontId="2" type="noConversion"/>
  </si>
  <si>
    <t>续飞</t>
  </si>
  <si>
    <t>自身停顿</t>
  </si>
  <si>
    <t>目标停顿</t>
  </si>
  <si>
    <t>FTBE</t>
    <phoneticPr fontId="4" type="noConversion"/>
  </si>
  <si>
    <t>FTE</t>
    <phoneticPr fontId="4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</si>
  <si>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</si>
  <si>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</si>
  <si>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</si>
  <si>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//</t>
    <phoneticPr fontId="4" type="noConversion"/>
  </si>
  <si>
    <t xml:space="preserve">上升是否要重力
1 要 0 不要
默认0
</t>
    <phoneticPr fontId="2" type="noConversion"/>
  </si>
  <si>
    <t>目标硬直</t>
  </si>
  <si>
    <t>受击动作（默认值0，受击动作hurt1）</t>
    <phoneticPr fontId="2" type="noConversion"/>
  </si>
  <si>
    <t>旋转(min|max)</t>
    <phoneticPr fontId="2" type="noConversion"/>
  </si>
  <si>
    <t>受击特效</t>
  </si>
  <si>
    <t>受击特效</t>
    <phoneticPr fontId="2" type="noConversion"/>
  </si>
  <si>
    <t>特殊说明</t>
    <phoneticPr fontId="2" type="noConversion"/>
  </si>
  <si>
    <t>是否跟随(0不跟随,1跟随）</t>
    <phoneticPr fontId="2" type="noConversion"/>
  </si>
  <si>
    <t>是否面向攻击者</t>
    <phoneticPr fontId="2" type="noConversion"/>
  </si>
  <si>
    <t>Sj003_RE</t>
  </si>
  <si>
    <t>0|10</t>
    <phoneticPr fontId="4" type="noConversion"/>
  </si>
  <si>
    <t>0.5|2</t>
    <phoneticPr fontId="4" type="noConversion"/>
  </si>
  <si>
    <t>缩放(min|max)</t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</si>
  <si>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0一起震动
1不一起震动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</si>
  <si>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</si>
  <si>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</si>
  <si>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r>
      <t xml:space="preserve">附近玩家能否看到震动
</t>
    </r>
    <r>
      <rPr>
        <sz val="11"/>
        <color rgb="FFFF0000"/>
        <rFont val="宋体"/>
        <family val="3"/>
        <charset val="134"/>
        <scheme val="minor"/>
      </rPr>
      <t>0 不需要
1 需要</t>
    </r>
    <phoneticPr fontId="2" type="noConversion"/>
  </si>
  <si>
    <t>FBE</t>
    <phoneticPr fontId="4" type="noConversion"/>
  </si>
  <si>
    <t>//</t>
    <phoneticPr fontId="4" type="noConversion"/>
  </si>
  <si>
    <t>效果只对符合条件的目标产生效果，可填多个
状态如下
动作状态型：倒地L、浮空F、站立T、死亡D
BUFF状态型：霸体B
关系型：敌方E、友方M、自己S、主人或宠物P
全体:A
例如：EFB则为包含站立、浮空、霸体的敌军单位</t>
    <phoneticPr fontId="4" type="noConversion"/>
  </si>
  <si>
    <t>int</t>
    <phoneticPr fontId="4" type="noConversion"/>
  </si>
  <si>
    <t>重复</t>
    <phoneticPr fontId="4" type="noConversion"/>
  </si>
  <si>
    <t>间隔</t>
    <phoneticPr fontId="4" type="noConversion"/>
  </si>
  <si>
    <t>技能监听</t>
    <phoneticPr fontId="4" type="noConversion"/>
  </si>
  <si>
    <t>注释</t>
    <phoneticPr fontId="4" type="noConversion"/>
  </si>
  <si>
    <t>招式名</t>
    <phoneticPr fontId="4" type="noConversion"/>
  </si>
  <si>
    <t>时间点</t>
    <phoneticPr fontId="4" type="noConversion"/>
  </si>
  <si>
    <t>触发指令的时间点</t>
    <phoneticPr fontId="4" type="noConversion"/>
  </si>
  <si>
    <t>子弹物体产生的ID，0表示没有</t>
    <phoneticPr fontId="4" type="noConversion"/>
  </si>
  <si>
    <t>目标推置</t>
    <phoneticPr fontId="4" type="noConversion"/>
  </si>
  <si>
    <t>当不为0时，则效果重复多次生效
例：填1则重复1次，即总共生效2次</t>
    <phoneticPr fontId="2" type="noConversion"/>
  </si>
  <si>
    <t>特效时间(无效)</t>
    <phoneticPr fontId="2" type="noConversion"/>
  </si>
  <si>
    <t>打飞高度Y</t>
  </si>
  <si>
    <t>进度条高度Y
填百分比，
进度条高度Y=目标名称高度Y*百分比</t>
  </si>
  <si>
    <t>X轴水平位移</t>
  </si>
  <si>
    <t>X轴水平位移</t>
    <phoneticPr fontId="2" type="noConversion"/>
  </si>
  <si>
    <t>Z轴纵深位移</t>
  </si>
  <si>
    <t>X轴水平位移(int)</t>
    <phoneticPr fontId="2" type="noConversion"/>
  </si>
  <si>
    <t>Z轴纵深位移</t>
    <phoneticPr fontId="2" type="noConversion"/>
  </si>
  <si>
    <t>Z轴纵深位移(int)</t>
    <phoneticPr fontId="2" type="noConversion"/>
  </si>
  <si>
    <t>打飞高度(int)</t>
    <phoneticPr fontId="2" type="noConversion"/>
  </si>
  <si>
    <t>minX(int)</t>
    <phoneticPr fontId="2" type="noConversion"/>
  </si>
  <si>
    <t>//</t>
    <phoneticPr fontId="4" type="noConversion"/>
  </si>
  <si>
    <t>Sj002_RE</t>
    <phoneticPr fontId="4" type="noConversion"/>
  </si>
  <si>
    <t>EF</t>
    <phoneticPr fontId="4" type="noConversion"/>
  </si>
  <si>
    <t xml:space="preserve">上升是否要重力
1 要 0 不要
默认0
</t>
    <phoneticPr fontId="2" type="noConversion"/>
  </si>
  <si>
    <t>EFTB</t>
    <phoneticPr fontId="4" type="noConversion"/>
  </si>
  <si>
    <t>EFT</t>
    <phoneticPr fontId="4" type="noConversion"/>
  </si>
  <si>
    <t>ETB</t>
    <phoneticPr fontId="4" type="noConversion"/>
  </si>
  <si>
    <t>当范围内存在目标时，自身停顿相应时间</t>
    <phoneticPr fontId="2" type="noConversion"/>
  </si>
  <si>
    <t>如果自身已处于停顿状态，则覆盖停顿时间</t>
    <phoneticPr fontId="15" type="noConversion"/>
  </si>
  <si>
    <t>需要存在目标（1需要，0不需要）</t>
    <phoneticPr fontId="2" type="noConversion"/>
  </si>
  <si>
    <t>ET</t>
    <phoneticPr fontId="4" type="noConversion"/>
  </si>
  <si>
    <t>ET</t>
    <phoneticPr fontId="4" type="noConversion"/>
  </si>
  <si>
    <t>EFT</t>
    <phoneticPr fontId="4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</si>
  <si>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16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</si>
  <si>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15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</si>
  <si>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</si>
  <si>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</si>
  <si>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偏移(x|y|z)默认值(0|80|0)</t>
    <phoneticPr fontId="2" type="noConversion"/>
  </si>
  <si>
    <t>浮空受击动作时间(float)</t>
    <phoneticPr fontId="2" type="noConversion"/>
  </si>
  <si>
    <t>浮空受击动作名称</t>
    <phoneticPr fontId="2" type="noConversion"/>
  </si>
  <si>
    <t>受击动作时间(float)</t>
    <phoneticPr fontId="2" type="noConversion"/>
  </si>
  <si>
    <t>受击动作名称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</si>
  <si>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</si>
  <si>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</si>
  <si>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</si>
  <si>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15" type="noConversion"/>
  </si>
  <si>
    <t>目标动作停顿相应时间。停顿过程中目标无法行动。
如果目标已处于停顿状态，则覆盖停顿时间
目标停顿和目标硬直可以同时存在，不互相影响</t>
    <phoneticPr fontId="15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</si>
  <si>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7" type="noConversion"/>
  </si>
  <si>
    <t>ET</t>
    <phoneticPr fontId="4" type="noConversion"/>
  </si>
  <si>
    <t>自身移动</t>
    <phoneticPr fontId="4" type="noConversion"/>
  </si>
  <si>
    <t>自身停顿</t>
    <phoneticPr fontId="4" type="noConversion"/>
  </si>
  <si>
    <t>自动生成</t>
    <phoneticPr fontId="4" type="noConversion"/>
  </si>
  <si>
    <t>碰撞框产生的ID,0表示没有</t>
    <phoneticPr fontId="4" type="noConversion"/>
  </si>
  <si>
    <t>参数1</t>
  </si>
  <si>
    <t>参数2</t>
  </si>
  <si>
    <t>参数7</t>
  </si>
  <si>
    <t>参数8</t>
  </si>
  <si>
    <t>参数9</t>
  </si>
  <si>
    <t>参数10</t>
  </si>
  <si>
    <t>伤害</t>
    <phoneticPr fontId="4" type="noConversion"/>
  </si>
  <si>
    <t>A</t>
    <phoneticPr fontId="4" type="noConversion"/>
  </si>
  <si>
    <t>EFTB</t>
    <phoneticPr fontId="4" type="noConversion"/>
  </si>
  <si>
    <t>普攻1</t>
    <phoneticPr fontId="4" type="noConversion"/>
  </si>
  <si>
    <t>普攻2</t>
    <phoneticPr fontId="4" type="noConversion"/>
  </si>
  <si>
    <t>普攻3</t>
    <phoneticPr fontId="4" type="noConversion"/>
  </si>
  <si>
    <t>普攻4</t>
    <phoneticPr fontId="4" type="noConversion"/>
  </si>
  <si>
    <t>技能1</t>
    <phoneticPr fontId="4" type="noConversion"/>
  </si>
  <si>
    <t>技能2</t>
    <phoneticPr fontId="4" type="noConversion"/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</si>
  <si>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4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</si>
  <si>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</si>
  <si>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t>自身移动</t>
    <phoneticPr fontId="4" type="noConversion"/>
  </si>
  <si>
    <t>碰撞结果</t>
    <phoneticPr fontId="4" type="noConversion"/>
  </si>
  <si>
    <t>EFTL</t>
    <phoneticPr fontId="4" type="noConversion"/>
  </si>
  <si>
    <t>管理号</t>
    <phoneticPr fontId="2" type="noConversion"/>
  </si>
  <si>
    <t>子弹</t>
  </si>
  <si>
    <t>普攻2</t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</si>
  <si>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</si>
  <si>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</si>
  <si>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</si>
  <si>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</si>
  <si>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</si>
  <si>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</si>
  <si>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</si>
  <si>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huaYao_atk_pugong1_Zd_E</t>
  </si>
  <si>
    <t>1|1|1</t>
    <phoneticPr fontId="4" type="noConversion"/>
  </si>
  <si>
    <t>20|80|0</t>
    <phoneticPr fontId="4" type="noConversion"/>
  </si>
  <si>
    <t>0|20|-90|300|-70|70</t>
    <phoneticPr fontId="4" type="noConversion"/>
  </si>
  <si>
    <t>声音</t>
  </si>
  <si>
    <t>普攻3</t>
  </si>
  <si>
    <t>普攻4</t>
  </si>
  <si>
    <t>普攻5</t>
  </si>
  <si>
    <t>480|0|0</t>
    <phoneticPr fontId="4" type="noConversion"/>
  </si>
  <si>
    <t>ERROR</t>
    <phoneticPr fontId="2" type="noConversion"/>
  </si>
  <si>
    <t>播放特效</t>
  </si>
  <si>
    <t>man_atk_pugong1_Sf_E</t>
    <phoneticPr fontId="4" type="noConversion"/>
  </si>
  <si>
    <t>特效预制件ID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</si>
  <si>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</si>
  <si>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</si>
  <si>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t>x|y|z</t>
    <phoneticPr fontId="2" type="noConversion"/>
  </si>
  <si>
    <t>100|0|0</t>
    <phoneticPr fontId="4" type="noConversion"/>
  </si>
  <si>
    <t>生成的json：</t>
  </si>
  <si>
    <t>{</t>
  </si>
  <si>
    <t>"5":{</t>
  </si>
  <si>
    <t xml:space="preserve">    "Id":5,</t>
  </si>
  <si>
    <t xml:space="preserve">    "actId":10001,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</si>
  <si>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</si>
  <si>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</si>
  <si>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</si>
  <si>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</si>
  <si>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</si>
  <si>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</si>
  <si>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"args1":"15",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</si>
  <si>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</si>
  <si>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</si>
  <si>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</si>
  <si>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</si>
  <si>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</si>
  <si>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</si>
  <si>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</si>
  <si>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</si>
  <si>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</si>
  <si>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</si>
  <si>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</si>
  <si>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"6":{</t>
  </si>
  <si>
    <t xml:space="preserve">    "Id":6,</t>
  </si>
  <si>
    <t xml:space="preserve">    "startTime":0.14,</t>
  </si>
  <si>
    <t xml:space="preserve">    "cmdType":17,</t>
  </si>
  <si>
    <t xml:space="preserve">    "args1":"Arrow_skill01",</t>
  </si>
  <si>
    <t xml:space="preserve">    "args2":"",</t>
  </si>
  <si>
    <t xml:space="preserve">    "args3":"",</t>
  </si>
  <si>
    <t xml:space="preserve">    "bulletId":1,</t>
  </si>
  <si>
    <t xml:space="preserve">    "selectTarget":"A",</t>
  </si>
  <si>
    <t xml:space="preserve">    "args2":"1",</t>
  </si>
  <si>
    <t xml:space="preserve">    "args3":"0",</t>
  </si>
  <si>
    <t>"9":{</t>
  </si>
  <si>
    <t xml:space="preserve">    "Id":9,</t>
  </si>
  <si>
    <t xml:space="preserve">    "hitId":3,</t>
  </si>
  <si>
    <t xml:space="preserve">    "cmdType":31,</t>
  </si>
  <si>
    <t xml:space="preserve">    "args1":"0",</t>
  </si>
  <si>
    <t xml:space="preserve">    "args2":"200",</t>
  </si>
  <si>
    <t xml:space="preserve">    "args3":"-10",</t>
  </si>
  <si>
    <t xml:space="preserve">    "args4":"300",</t>
  </si>
  <si>
    <t xml:space="preserve">    "args5":"-70",</t>
  </si>
  <si>
    <t xml:space="preserve">    "args6":"70",</t>
  </si>
  <si>
    <t xml:space="preserve">    "selectTarget":"EFTB",</t>
  </si>
  <si>
    <t xml:space="preserve">    "cmdType":1,</t>
  </si>
  <si>
    <t xml:space="preserve">    "args1":"300",</t>
  </si>
  <si>
    <t xml:space="preserve">    "cmdType":9,</t>
  </si>
  <si>
    <t xml:space="preserve">    "args1":"20",</t>
  </si>
  <si>
    <t xml:space="preserve">    "args2":"20",</t>
  </si>
  <si>
    <t xml:space="preserve">    "args4":"0.2",</t>
  </si>
  <si>
    <t xml:space="preserve">    "args5":"160",</t>
  </si>
  <si>
    <t xml:space="preserve">    "cmdType":7,</t>
  </si>
  <si>
    <t xml:space="preserve">    "args1":"40",</t>
  </si>
  <si>
    <t xml:space="preserve">    "cmdType":18,</t>
  </si>
  <si>
    <t xml:space="preserve">    "args1":"1",</t>
  </si>
  <si>
    <t xml:space="preserve">    "args3":"2",</t>
  </si>
  <si>
    <t>"18":{</t>
  </si>
  <si>
    <t xml:space="preserve">    "Id":18,</t>
  </si>
  <si>
    <t xml:space="preserve">    "startTime":0.1,</t>
  </si>
  <si>
    <t xml:space="preserve">    "args1":"600",</t>
  </si>
  <si>
    <t>"20":{</t>
  </si>
  <si>
    <t xml:space="preserve">    "Id":20,</t>
  </si>
  <si>
    <t xml:space="preserve">    "actId":20001,</t>
  </si>
  <si>
    <t>"21":{</t>
  </si>
  <si>
    <t xml:space="preserve">    "Id":21,</t>
  </si>
  <si>
    <t xml:space="preserve">    "hitId":1,</t>
  </si>
  <si>
    <t>"24":{</t>
  </si>
  <si>
    <t xml:space="preserve">    "Id":24,</t>
  </si>
  <si>
    <t>"25":{</t>
  </si>
  <si>
    <t xml:space="preserve">    "Id":25,</t>
  </si>
  <si>
    <t xml:space="preserve">    "selectTarget":"EFT",</t>
  </si>
  <si>
    <t>"26":{</t>
  </si>
  <si>
    <t xml:space="preserve">    "Id":26,</t>
  </si>
  <si>
    <t xml:space="preserve">    "selectTarget":"ET",</t>
  </si>
  <si>
    <t>"27":{</t>
  </si>
  <si>
    <t xml:space="preserve">    "Id":27,</t>
  </si>
  <si>
    <t xml:space="preserve">    "startTime":0.3,</t>
  </si>
  <si>
    <t xml:space="preserve">    "args4":"3",</t>
  </si>
  <si>
    <t>"29":{</t>
  </si>
  <si>
    <t xml:space="preserve">    "Id":29,</t>
  </si>
  <si>
    <t xml:space="preserve">    "actId":30001,</t>
  </si>
  <si>
    <t xml:space="preserve">    "args1":"30",</t>
  </si>
  <si>
    <t>"30":{</t>
  </si>
  <si>
    <t xml:space="preserve">    "Id":30,</t>
  </si>
  <si>
    <t xml:space="preserve">    "startTime":0.16,</t>
  </si>
  <si>
    <t>"31":{</t>
  </si>
  <si>
    <t xml:space="preserve">    "Id":31,</t>
  </si>
  <si>
    <t>"32":{</t>
  </si>
  <si>
    <t xml:space="preserve">    "Id":32,</t>
  </si>
  <si>
    <t xml:space="preserve">    "cmdType":8,</t>
  </si>
  <si>
    <t xml:space="preserve">    "args1":"50",</t>
  </si>
  <si>
    <t xml:space="preserve">    "args2":"150",</t>
  </si>
  <si>
    <t xml:space="preserve">    "args4":"0.25",</t>
  </si>
  <si>
    <t xml:space="preserve">    "args5":"200",</t>
  </si>
  <si>
    <t>"33":{</t>
  </si>
  <si>
    <t xml:space="preserve">    "Id":33,</t>
  </si>
  <si>
    <t xml:space="preserve">    "args2":"60",</t>
  </si>
  <si>
    <t xml:space="preserve">    "args5":"180",</t>
  </si>
  <si>
    <t>"37":{</t>
  </si>
  <si>
    <t xml:space="preserve">    "Id":37,</t>
  </si>
  <si>
    <t xml:space="preserve">    "startTime":0.35,</t>
  </si>
  <si>
    <t xml:space="preserve">    "args4":"4",</t>
  </si>
  <si>
    <t>"39":{</t>
  </si>
  <si>
    <t xml:space="preserve">    "Id":39,</t>
  </si>
  <si>
    <t xml:space="preserve">    "actId":40001,</t>
  </si>
  <si>
    <t>"40":{</t>
  </si>
  <si>
    <t xml:space="preserve">    "Id":40,</t>
  </si>
  <si>
    <t>"41":{</t>
  </si>
  <si>
    <t xml:space="preserve">    "Id":41,</t>
  </si>
  <si>
    <t>"42":{</t>
  </si>
  <si>
    <t xml:space="preserve">    "Id":42,</t>
  </si>
  <si>
    <t xml:space="preserve">    "args1":"10",</t>
  </si>
  <si>
    <t>"45":{</t>
  </si>
  <si>
    <t xml:space="preserve">    "Id":45,</t>
  </si>
  <si>
    <t>"46":{</t>
  </si>
  <si>
    <t xml:space="preserve">    "Id":46,</t>
  </si>
  <si>
    <t xml:space="preserve">    "startTime":0.26,</t>
  </si>
  <si>
    <t>"47":{</t>
  </si>
  <si>
    <t xml:space="preserve">    "Id":47,</t>
  </si>
  <si>
    <t xml:space="preserve">    "startTime":0.29,</t>
  </si>
  <si>
    <t xml:space="preserve">    "hitId":2,</t>
  </si>
  <si>
    <t>"48":{</t>
  </si>
  <si>
    <t xml:space="preserve">    "Id":48,</t>
  </si>
  <si>
    <t>"49":{</t>
  </si>
  <si>
    <t xml:space="preserve">    "Id":49,</t>
  </si>
  <si>
    <t>"52":{</t>
  </si>
  <si>
    <t xml:space="preserve">    "Id":52,</t>
  </si>
  <si>
    <t>"53":{</t>
  </si>
  <si>
    <t xml:space="preserve">    "Id":53,</t>
  </si>
  <si>
    <t xml:space="preserve">    "startTime":0.42,</t>
  </si>
  <si>
    <t xml:space="preserve">    "args4":"0",</t>
  </si>
  <si>
    <t>"55":{</t>
  </si>
  <si>
    <t xml:space="preserve">    "Id":55,</t>
  </si>
  <si>
    <t xml:space="preserve">    "actId":50001,</t>
  </si>
  <si>
    <t xml:space="preserve">    "args3":"0.05",</t>
  </si>
  <si>
    <t>"56":{</t>
  </si>
  <si>
    <t xml:space="preserve">    "Id":56,</t>
  </si>
  <si>
    <t xml:space="preserve">    "args1":"-80",</t>
  </si>
  <si>
    <t xml:space="preserve">    "args2":"250",</t>
  </si>
  <si>
    <t>"57":{</t>
  </si>
  <si>
    <t xml:space="preserve">    "Id":57,</t>
  </si>
  <si>
    <t>"58":{</t>
  </si>
  <si>
    <t xml:space="preserve">    "Id":58,</t>
  </si>
  <si>
    <t>"59":{</t>
  </si>
  <si>
    <t xml:space="preserve">    "Id":59,</t>
  </si>
  <si>
    <t xml:space="preserve">    "args2":"50",</t>
  </si>
  <si>
    <t>"60":{</t>
  </si>
  <si>
    <t xml:space="preserve">    "Id":60,</t>
  </si>
  <si>
    <t xml:space="preserve">    "startTime":0.48,</t>
  </si>
  <si>
    <t>"61":{</t>
  </si>
  <si>
    <t xml:space="preserve">    "Id":61,</t>
  </si>
  <si>
    <t xml:space="preserve">    "args1":"100",</t>
  </si>
  <si>
    <t>"62":{</t>
  </si>
  <si>
    <t xml:space="preserve">    "Id":62,</t>
  </si>
  <si>
    <t xml:space="preserve">    "args1":"5",</t>
  </si>
  <si>
    <t xml:space="preserve">    "args2":"10",</t>
  </si>
  <si>
    <t>"63":{</t>
  </si>
  <si>
    <t xml:space="preserve">    "Id":63,</t>
  </si>
  <si>
    <t xml:space="preserve">    "startTime":0.74,</t>
  </si>
  <si>
    <t>"64":{</t>
  </si>
  <si>
    <t xml:space="preserve">    "Id":64,</t>
  </si>
  <si>
    <t>"65":{</t>
  </si>
  <si>
    <t xml:space="preserve">    "Id":65,</t>
  </si>
  <si>
    <t>"66":{</t>
  </si>
  <si>
    <t xml:space="preserve">    "Id":66,</t>
  </si>
  <si>
    <t xml:space="preserve">    "startTime":1.1,</t>
  </si>
  <si>
    <t xml:space="preserve">    "hitId":4,</t>
  </si>
  <si>
    <t>"67":{</t>
  </si>
  <si>
    <t xml:space="preserve">    "Id":67,</t>
  </si>
  <si>
    <t>"68":{</t>
  </si>
  <si>
    <t xml:space="preserve">    "Id":68,</t>
  </si>
  <si>
    <t xml:space="preserve">    "args2":"80",</t>
  </si>
  <si>
    <t xml:space="preserve">    "args4":"0.1",</t>
  </si>
  <si>
    <t>"69":{</t>
  </si>
  <si>
    <t xml:space="preserve">    "Id":69,</t>
  </si>
  <si>
    <t xml:space="preserve">    "startTime":1.33,</t>
  </si>
  <si>
    <t xml:space="preserve">    "args3":"1",</t>
  </si>
  <si>
    <t>"71":{</t>
  </si>
  <si>
    <t xml:space="preserve">    "Id":71,</t>
  </si>
  <si>
    <t xml:space="preserve">    "actId":60001,</t>
  </si>
  <si>
    <t xml:space="preserve">    "startTime":0.15,</t>
  </si>
  <si>
    <t xml:space="preserve">    "args1":"-250",</t>
  </si>
  <si>
    <t xml:space="preserve">    "repeatTimes":5,</t>
  </si>
  <si>
    <t>"72":{</t>
  </si>
  <si>
    <t xml:space="preserve">    "Id":72,</t>
  </si>
  <si>
    <t>"73":{</t>
  </si>
  <si>
    <t xml:space="preserve">    "Id":73,</t>
  </si>
  <si>
    <t xml:space="preserve">    "args5":"220",</t>
  </si>
  <si>
    <t>"74":{</t>
  </si>
  <si>
    <t xml:space="preserve">    "Id":74,</t>
  </si>
  <si>
    <t>"75":{</t>
  </si>
  <si>
    <t xml:space="preserve">    "Id":75,</t>
  </si>
  <si>
    <t>"76":{</t>
  </si>
  <si>
    <t xml:space="preserve">    "Id":76,</t>
  </si>
  <si>
    <t>"77":{</t>
  </si>
  <si>
    <t xml:space="preserve">    "Id":77,</t>
  </si>
  <si>
    <t>"78":{</t>
  </si>
  <si>
    <t xml:space="preserve">    "Id":78,</t>
  </si>
  <si>
    <t>"79":{</t>
  </si>
  <si>
    <t xml:space="preserve">    "Id":79,</t>
  </si>
  <si>
    <t xml:space="preserve">    "startTime":0.55,</t>
  </si>
  <si>
    <t>"80":{</t>
  </si>
  <si>
    <t xml:space="preserve">    "Id":80,</t>
  </si>
  <si>
    <t>"81":{</t>
  </si>
  <si>
    <t xml:space="preserve">    "Id":81,</t>
  </si>
  <si>
    <t>"82":{</t>
  </si>
  <si>
    <t xml:space="preserve">    "Id":82,</t>
  </si>
  <si>
    <t>"83":{</t>
  </si>
  <si>
    <t xml:space="preserve">    "Id":83,</t>
  </si>
  <si>
    <t xml:space="preserve">    "startTime":0.75,</t>
  </si>
  <si>
    <t>"84":{</t>
  </si>
  <si>
    <t xml:space="preserve">    "Id":84,</t>
  </si>
  <si>
    <t>"85":{</t>
  </si>
  <si>
    <t xml:space="preserve">    "Id":85,</t>
  </si>
  <si>
    <t>"86":{</t>
  </si>
  <si>
    <t xml:space="preserve">    "Id":86,</t>
  </si>
  <si>
    <t>"87":{</t>
  </si>
  <si>
    <t xml:space="preserve">    "Id":87,</t>
  </si>
  <si>
    <t xml:space="preserve">    "startTime":0.95,</t>
  </si>
  <si>
    <t xml:space="preserve">    "hitId":5,</t>
  </si>
  <si>
    <t>"88":{</t>
  </si>
  <si>
    <t xml:space="preserve">    "Id":88,</t>
  </si>
  <si>
    <t>"89":{</t>
  </si>
  <si>
    <t xml:space="preserve">    "Id":89,</t>
  </si>
  <si>
    <t>"90":{</t>
  </si>
  <si>
    <t xml:space="preserve">    "Id":90,</t>
  </si>
  <si>
    <t>"91":{</t>
  </si>
  <si>
    <t xml:space="preserve">    "Id":91,</t>
  </si>
  <si>
    <t xml:space="preserve">    "startTime":1.15,</t>
  </si>
  <si>
    <t xml:space="preserve">    "hitId":6,</t>
  </si>
  <si>
    <t>"92":{</t>
  </si>
  <si>
    <t xml:space="preserve">    "Id":92,</t>
  </si>
  <si>
    <t>"93":{</t>
  </si>
  <si>
    <t xml:space="preserve">    "Id":93,</t>
  </si>
  <si>
    <t>"94":{</t>
  </si>
  <si>
    <t xml:space="preserve">    "Id":94,</t>
  </si>
  <si>
    <t>"95":{</t>
  </si>
  <si>
    <t xml:space="preserve">    "Id":95,</t>
  </si>
  <si>
    <t xml:space="preserve">    "startTime":1.68,</t>
  </si>
  <si>
    <t xml:space="preserve">    "hitId":7,</t>
  </si>
  <si>
    <t>"96":{</t>
  </si>
  <si>
    <t xml:space="preserve">    "Id":96,</t>
  </si>
  <si>
    <t>"97":{</t>
  </si>
  <si>
    <t xml:space="preserve">    "Id":97,</t>
  </si>
  <si>
    <t xml:space="preserve">    "selectTarget":"EFTL",</t>
  </si>
  <si>
    <t xml:space="preserve">    "args5":"250",</t>
  </si>
  <si>
    <t>"98":{</t>
  </si>
  <si>
    <t xml:space="preserve">    "Id":98,</t>
  </si>
  <si>
    <t>"99":{</t>
  </si>
  <si>
    <t xml:space="preserve">    "Id":99,</t>
  </si>
  <si>
    <t xml:space="preserve">    "startTime":2,</t>
  </si>
  <si>
    <t>}</t>
  </si>
  <si>
    <t xml:space="preserve">    "args1":"",</t>
  </si>
  <si>
    <t>Arrow_skill01</t>
    <phoneticPr fontId="4" type="noConversion"/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</si>
  <si>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</si>
  <si>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</si>
  <si>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"intervalTime":0.2</t>
    <phoneticPr fontId="2" type="noConversion"/>
  </si>
  <si>
    <t xml:space="preserve">    "intervalTime":0.2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</si>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</sst>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\(0.00\)"/>
  </numFmts>
  <fonts count="27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0" tint="-4.9989318521683403E-2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 tint="-4.9989318521683403E-2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trike/>
      <sz val="11"/>
      <color theme="1"/>
      <name val="宋体"/>
      <family val="2"/>
      <scheme val="minor"/>
    </font>
    <font>
      <b/>
      <strike/>
      <sz val="11"/>
      <color theme="1"/>
      <name val="宋体"/>
      <family val="2"/>
      <scheme val="minor"/>
    </font>
    <font>
      <strike/>
      <sz val="11"/>
      <color theme="1"/>
      <name val="宋体"/>
      <family val="3"/>
      <charset val="134"/>
      <scheme val="minor"/>
    </font>
    <font>
      <sz val="11"/>
      <color theme="9" tint="-0.249977111117893"/>
      <name val="宋体"/>
      <family val="2"/>
      <scheme val="minor"/>
    </font>
    <font>
      <sz val="11"/>
      <color theme="9" tint="-0.249977111117893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color theme="0"/>
      <name val="宋体"/>
      <family val="2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DEDEDE"/>
      <name val="宋体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3" fillId="2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14" fillId="0" borderId="3" xfId="0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quotePrefix="1"/>
    <xf numFmtId="0" fontId="8" fillId="4" borderId="0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7" fillId="0" borderId="2" xfId="0" applyFont="1" applyBorder="1" applyAlignment="1">
      <alignment horizontal="left" vertical="center" wrapText="1"/>
    </xf>
    <xf numFmtId="0" fontId="2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5" borderId="0" xfId="0" applyFill="1" applyBorder="1" applyAlignment="1">
      <alignment vertical="center" wrapText="1"/>
    </xf>
    <xf numFmtId="176" fontId="0" fillId="0" borderId="0" xfId="0" applyNumberFormat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22" fillId="11" borderId="4" xfId="0" applyFont="1" applyFill="1" applyBorder="1" applyAlignment="1" applyProtection="1">
      <alignment vertical="center"/>
      <protection hidden="1"/>
    </xf>
    <xf numFmtId="0" fontId="22" fillId="11" borderId="4" xfId="0" applyFont="1" applyFill="1" applyBorder="1" applyAlignment="1" applyProtection="1">
      <alignment horizontal="center" vertical="center"/>
      <protection hidden="1"/>
    </xf>
    <xf numFmtId="0" fontId="0" fillId="11" borderId="4" xfId="0" applyFill="1" applyBorder="1" applyAlignment="1" applyProtection="1">
      <alignment vertical="center" wrapText="1"/>
      <protection hidden="1"/>
    </xf>
    <xf numFmtId="0" fontId="0" fillId="11" borderId="4" xfId="0" applyFill="1" applyBorder="1" applyAlignment="1" applyProtection="1">
      <alignment vertical="center"/>
      <protection hidden="1"/>
    </xf>
    <xf numFmtId="0" fontId="23" fillId="11" borderId="4" xfId="0" applyFont="1" applyFill="1" applyBorder="1" applyAlignment="1" applyProtection="1">
      <alignment vertical="top" wrapText="1"/>
      <protection hidden="1"/>
    </xf>
    <xf numFmtId="0" fontId="0" fillId="11" borderId="4" xfId="0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6" fillId="9" borderId="0" xfId="0" applyFont="1" applyFill="1" applyBorder="1" applyAlignment="1" applyProtection="1">
      <alignment vertical="center"/>
      <protection hidden="1"/>
    </xf>
    <xf numFmtId="0" fontId="6" fillId="8" borderId="0" xfId="0" applyFont="1" applyFill="1" applyBorder="1" applyAlignment="1" applyProtection="1">
      <alignment vertical="center"/>
      <protection hidden="1"/>
    </xf>
    <xf numFmtId="49" fontId="0" fillId="0" borderId="0" xfId="0" applyNumberFormat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176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19" fillId="5" borderId="0" xfId="0" applyFont="1" applyFill="1" applyBorder="1" applyAlignment="1" applyProtection="1">
      <alignment vertical="center" wrapText="1"/>
      <protection hidden="1"/>
    </xf>
    <xf numFmtId="0" fontId="18" fillId="10" borderId="0" xfId="0" applyFont="1" applyFill="1" applyBorder="1" applyAlignment="1" applyProtection="1">
      <alignment vertical="center"/>
      <protection hidden="1"/>
    </xf>
    <xf numFmtId="0" fontId="18" fillId="5" borderId="0" xfId="0" applyFont="1" applyFill="1" applyBorder="1" applyAlignment="1" applyProtection="1">
      <alignment vertical="center" wrapText="1"/>
      <protection hidden="1"/>
    </xf>
    <xf numFmtId="0" fontId="0" fillId="5" borderId="0" xfId="0" applyFill="1" applyBorder="1" applyAlignment="1" applyProtection="1">
      <alignment vertical="center" wrapText="1"/>
      <protection hidden="1"/>
    </xf>
    <xf numFmtId="176" fontId="0" fillId="0" borderId="0" xfId="0" applyNumberFormat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49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9" fillId="0" borderId="0" xfId="0" applyFont="1" applyFill="1" applyBorder="1" applyAlignment="1" applyProtection="1">
      <alignment vertical="center" wrapText="1"/>
      <protection hidden="1"/>
    </xf>
    <xf numFmtId="0" fontId="18" fillId="0" borderId="0" xfId="0" applyFont="1" applyFill="1" applyBorder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vertical="center" wrapText="1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3" fillId="11" borderId="4" xfId="0" applyFont="1" applyFill="1" applyBorder="1" applyAlignment="1" applyProtection="1">
      <alignment horizontal="center" vertical="top" wrapText="1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11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11" borderId="0" xfId="0" applyFill="1"/>
    <xf numFmtId="0" fontId="1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/>
    </xf>
    <xf numFmtId="0" fontId="22" fillId="11" borderId="4" xfId="0" applyNumberFormat="1" applyFont="1" applyFill="1" applyBorder="1" applyAlignment="1" applyProtection="1">
      <alignment horizontal="center" vertical="center"/>
      <protection hidden="1"/>
    </xf>
    <xf numFmtId="0" fontId="0" fillId="11" borderId="4" xfId="0" applyNumberFormat="1" applyFill="1" applyBorder="1" applyAlignment="1" applyProtection="1">
      <alignment horizontal="center" vertical="top" wrapText="1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2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/>
    <xf numFmtId="0" fontId="22" fillId="11" borderId="5" xfId="0" applyFont="1" applyFill="1" applyBorder="1" applyAlignment="1" applyProtection="1">
      <alignment horizontal="center" vertical="center"/>
      <protection hidden="1"/>
    </xf>
    <xf numFmtId="0" fontId="22" fillId="11" borderId="6" xfId="0" applyFont="1" applyFill="1" applyBorder="1" applyAlignment="1" applyProtection="1">
      <alignment horizontal="center" vertical="center"/>
      <protection hidden="1"/>
    </xf>
    <xf numFmtId="0" fontId="0" fillId="11" borderId="6" xfId="0" applyFill="1" applyBorder="1" applyAlignment="1" applyProtection="1">
      <alignment horizontal="center" vertical="top" wrapText="1"/>
      <protection hidden="1"/>
    </xf>
    <xf numFmtId="0" fontId="22" fillId="12" borderId="1" xfId="0" applyFont="1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 applyProtection="1">
      <alignment horizontal="center" vertical="top" wrapText="1"/>
      <protection hidden="1"/>
    </xf>
    <xf numFmtId="0" fontId="24" fillId="12" borderId="1" xfId="0" applyFont="1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 applyProtection="1">
      <alignment horizontal="center" vertical="center"/>
      <protection hidden="1"/>
    </xf>
    <xf numFmtId="0" fontId="0" fillId="12" borderId="1" xfId="0" applyFill="1" applyBorder="1" applyAlignment="1">
      <alignment horizontal="center" vertical="center"/>
    </xf>
    <xf numFmtId="0" fontId="19" fillId="11" borderId="5" xfId="0" applyFont="1" applyFill="1" applyBorder="1" applyAlignment="1" applyProtection="1">
      <alignment horizontal="center" vertical="top" wrapText="1"/>
      <protection hidden="1"/>
    </xf>
    <xf numFmtId="0" fontId="7" fillId="11" borderId="4" xfId="0" applyFont="1" applyFill="1" applyBorder="1" applyAlignment="1" applyProtection="1">
      <alignment horizontal="center" vertical="top" wrapText="1"/>
      <protection hidden="1"/>
    </xf>
    <xf numFmtId="0" fontId="7" fillId="11" borderId="4" xfId="0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52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161925</xdr:rowOff>
        </xdr:from>
        <xdr:to>
          <xdr:col>11</xdr:col>
          <xdr:colOff>371475</xdr:colOff>
          <xdr:row>1</xdr:row>
          <xdr:rowOff>590550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1304925</xdr:colOff>
          <xdr:row>1</xdr:row>
          <xdr:rowOff>133350</xdr:rowOff>
        </xdr:from>
        <xdr:to>
          <xdr:col>12</xdr:col>
          <xdr:colOff>1504950</xdr:colOff>
          <xdr:row>1</xdr:row>
          <xdr:rowOff>561975</xdr:rowOff>
        </xdr:to>
        <xdr:sp macro="" textlink="">
          <xdr:nvSpPr>
            <xdr:cNvPr id="116676" name="Button 22468" hidden="1">
              <a:extLst>
                <a:ext uri="{63B3BB69-23CF-44E3-9099-C40C66FF867C}">
                  <a14:compatExt spid="_x0000_s116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99"/>
  <sheetViews>
    <sheetView tabSelected="1" zoomScale="115" zoomScaleNormal="115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K9" sqref="K9"/>
    </sheetView>
  </sheetViews>
  <sheetFormatPr defaultRowHeight="13.5"/>
  <cols>
    <col min="1" max="1" width="11.375" style="9" customWidth="1"/>
    <col min="2" max="3" width="7" style="9" customWidth="1"/>
    <col min="4" max="4" width="7" style="95" customWidth="1"/>
    <col min="5" max="5" width="8.125" style="9" customWidth="1"/>
    <col min="6" max="6" width="7.375" style="9" customWidth="1"/>
    <col min="7" max="7" width="6.25" style="9" customWidth="1"/>
    <col min="8" max="8" width="9" style="9" customWidth="1"/>
    <col min="9" max="9" width="6.5" style="9" customWidth="1"/>
    <col min="10" max="10" width="15.125" style="107" customWidth="1"/>
    <col min="11" max="11" width="25" style="83" customWidth="1"/>
    <col min="12" max="12" width="26.125" style="83" bestFit="1" customWidth="1"/>
    <col min="13" max="13" width="30.75" style="83" customWidth="1"/>
    <col min="14" max="14" width="7.75" style="83" customWidth="1"/>
    <col min="15" max="15" width="8.5" style="83" bestFit="1" customWidth="1"/>
    <col min="16" max="16" width="13.125" style="83" customWidth="1"/>
    <col min="17" max="17" width="14.375" style="83" customWidth="1"/>
    <col min="18" max="20" width="7.75" style="83" customWidth="1"/>
    <col min="21" max="21" width="5.625" style="9" customWidth="1"/>
    <col min="22" max="22" width="6.875" style="9" customWidth="1"/>
    <col min="23" max="16384" width="9" style="9"/>
  </cols>
  <sheetData>
    <row r="1" spans="1:22">
      <c r="A1" s="49" t="s">
        <v>241</v>
      </c>
      <c r="B1" s="49" t="s">
        <v>279</v>
      </c>
      <c r="C1" s="49" t="s">
        <v>528</v>
      </c>
      <c r="D1" s="92" t="s">
        <v>529</v>
      </c>
      <c r="E1" s="49" t="s">
        <v>318</v>
      </c>
      <c r="F1" s="49" t="s">
        <v>319</v>
      </c>
      <c r="G1" s="110" t="s">
        <v>598</v>
      </c>
      <c r="H1" s="49" t="s">
        <v>472</v>
      </c>
      <c r="I1" s="100" t="s">
        <v>219</v>
      </c>
      <c r="J1" s="103" t="s">
        <v>220</v>
      </c>
      <c r="K1" s="101" t="s">
        <v>578</v>
      </c>
      <c r="L1" s="49" t="s">
        <v>579</v>
      </c>
      <c r="M1" s="49" t="s">
        <v>43</v>
      </c>
      <c r="N1" s="49" t="s">
        <v>44</v>
      </c>
      <c r="O1" s="49" t="s">
        <v>45</v>
      </c>
      <c r="P1" s="49" t="s">
        <v>46</v>
      </c>
      <c r="Q1" s="49" t="s">
        <v>580</v>
      </c>
      <c r="R1" s="49" t="s">
        <v>581</v>
      </c>
      <c r="S1" s="49" t="s">
        <v>582</v>
      </c>
      <c r="T1" s="49" t="s">
        <v>583</v>
      </c>
      <c r="U1" s="49" t="s">
        <v>524</v>
      </c>
      <c r="V1" s="49" t="s">
        <v>525</v>
      </c>
    </row>
    <row r="2" spans="1:22" s="88" customFormat="1" ht="61.5" customHeight="1">
      <c r="A2" s="109" t="s">
        <v>593</v>
      </c>
      <c r="B2" s="87"/>
      <c r="C2" s="87" t="s">
        <v>527</v>
      </c>
      <c r="D2" s="93" t="s">
        <v>530</v>
      </c>
      <c r="E2" s="78" t="s">
        <v>577</v>
      </c>
      <c r="F2" s="78" t="s">
        <v>531</v>
      </c>
      <c r="G2" s="78" t="s">
        <v>290</v>
      </c>
      <c r="H2" s="78"/>
      <c r="I2" s="108" t="s">
        <v>576</v>
      </c>
      <c r="J2" s="104"/>
      <c r="K2" s="102"/>
      <c r="L2" s="87"/>
      <c r="M2" s="87"/>
      <c r="N2" s="87"/>
      <c r="O2" s="87"/>
      <c r="P2" s="87"/>
      <c r="Q2" s="87"/>
      <c r="R2" s="87"/>
      <c r="S2" s="87"/>
      <c r="T2" s="87"/>
      <c r="U2" s="78" t="s">
        <v>533</v>
      </c>
      <c r="V2" s="78" t="s">
        <v>284</v>
      </c>
    </row>
    <row r="3" spans="1:22" s="84" customFormat="1">
      <c r="A3" s="55" t="s">
        <v>230</v>
      </c>
      <c r="B3" s="55" t="s">
        <v>280</v>
      </c>
      <c r="C3" s="55"/>
      <c r="D3" s="94" t="s">
        <v>231</v>
      </c>
      <c r="E3" s="55" t="s">
        <v>486</v>
      </c>
      <c r="F3" s="55" t="s">
        <v>487</v>
      </c>
      <c r="G3" s="55" t="s">
        <v>289</v>
      </c>
      <c r="H3" s="55" t="s">
        <v>474</v>
      </c>
      <c r="I3" s="55" t="s">
        <v>282</v>
      </c>
      <c r="J3" s="105"/>
      <c r="K3" s="55" t="s">
        <v>281</v>
      </c>
      <c r="L3" s="55" t="s">
        <v>232</v>
      </c>
      <c r="M3" s="55" t="s">
        <v>233</v>
      </c>
      <c r="N3" s="55" t="s">
        <v>234</v>
      </c>
      <c r="O3" s="55" t="s">
        <v>235</v>
      </c>
      <c r="P3" s="55" t="s">
        <v>236</v>
      </c>
      <c r="Q3" s="55" t="s">
        <v>237</v>
      </c>
      <c r="R3" s="55" t="s">
        <v>238</v>
      </c>
      <c r="S3" s="55" t="s">
        <v>239</v>
      </c>
      <c r="T3" s="55" t="s">
        <v>240</v>
      </c>
      <c r="U3" s="55" t="s">
        <v>288</v>
      </c>
      <c r="V3" s="55" t="s">
        <v>287</v>
      </c>
    </row>
    <row r="4" spans="1:22" s="84" customFormat="1">
      <c r="A4" s="55" t="s">
        <v>523</v>
      </c>
      <c r="B4" s="55" t="s">
        <v>277</v>
      </c>
      <c r="C4" s="55"/>
      <c r="D4" s="94" t="s">
        <v>217</v>
      </c>
      <c r="E4" s="55" t="s">
        <v>320</v>
      </c>
      <c r="F4" s="55" t="s">
        <v>320</v>
      </c>
      <c r="G4" s="55" t="s">
        <v>215</v>
      </c>
      <c r="H4" s="55" t="s">
        <v>475</v>
      </c>
      <c r="I4" s="55" t="s">
        <v>215</v>
      </c>
      <c r="J4" s="105"/>
      <c r="K4" s="55" t="s">
        <v>216</v>
      </c>
      <c r="L4" s="55" t="s">
        <v>216</v>
      </c>
      <c r="M4" s="55" t="s">
        <v>216</v>
      </c>
      <c r="N4" s="55" t="s">
        <v>216</v>
      </c>
      <c r="O4" s="55" t="s">
        <v>216</v>
      </c>
      <c r="P4" s="55" t="s">
        <v>216</v>
      </c>
      <c r="Q4" s="55" t="s">
        <v>216</v>
      </c>
      <c r="R4" s="55" t="s">
        <v>216</v>
      </c>
      <c r="S4" s="55" t="s">
        <v>216</v>
      </c>
      <c r="T4" s="55" t="s">
        <v>216</v>
      </c>
      <c r="U4" s="55" t="s">
        <v>215</v>
      </c>
      <c r="V4" s="55" t="s">
        <v>243</v>
      </c>
    </row>
    <row r="5" spans="1:22" ht="18" customHeight="1">
      <c r="A5" s="64">
        <f>ROW()</f>
        <v>5</v>
      </c>
      <c r="B5" s="73">
        <v>10001</v>
      </c>
      <c r="C5" s="64" t="s">
        <v>587</v>
      </c>
      <c r="D5" s="82">
        <v>0</v>
      </c>
      <c r="E5" s="73">
        <v>0</v>
      </c>
      <c r="F5" s="73"/>
      <c r="G5" s="73"/>
      <c r="H5" s="85"/>
      <c r="I5" s="64">
        <f>IF(ISBLANK(J5),"",VLOOKUP(J5,定义!$D$3:$E$40,2,FALSE))</f>
        <v>11</v>
      </c>
      <c r="J5" s="106" t="s">
        <v>291</v>
      </c>
      <c r="K5" s="79">
        <v>15</v>
      </c>
      <c r="L5" s="79">
        <v>0</v>
      </c>
      <c r="M5" s="79">
        <v>0.1</v>
      </c>
      <c r="N5" s="79"/>
      <c r="O5" s="79"/>
      <c r="P5" s="79"/>
      <c r="Q5" s="79"/>
      <c r="R5" s="79"/>
      <c r="S5" s="79"/>
      <c r="T5" s="79"/>
      <c r="U5" s="80"/>
      <c r="V5" s="80"/>
    </row>
    <row r="6" spans="1:22" ht="18" customHeight="1">
      <c r="A6" s="64">
        <f>ROW()</f>
        <v>6</v>
      </c>
      <c r="B6" s="73">
        <v>10001</v>
      </c>
      <c r="C6" s="64" t="s">
        <v>587</v>
      </c>
      <c r="D6" s="82">
        <v>0.14000000000000001</v>
      </c>
      <c r="E6" s="73">
        <v>0</v>
      </c>
      <c r="F6" s="73">
        <v>0</v>
      </c>
      <c r="G6" s="73">
        <v>0</v>
      </c>
      <c r="H6" s="85"/>
      <c r="I6" s="64">
        <f>IF(ISBLANK(J6),"",VLOOKUP(J6,定义!$D$3:$E$40,2,FALSE))</f>
        <v>17</v>
      </c>
      <c r="J6" s="106" t="s">
        <v>612</v>
      </c>
      <c r="K6" s="79" t="s">
        <v>879</v>
      </c>
      <c r="L6" s="79"/>
      <c r="M6" s="79"/>
      <c r="N6" s="79"/>
      <c r="O6" s="79"/>
      <c r="P6" s="79"/>
      <c r="Q6" s="79"/>
      <c r="R6" s="79"/>
      <c r="S6" s="79"/>
      <c r="T6" s="79"/>
      <c r="U6" s="80"/>
      <c r="V6" s="80"/>
    </row>
    <row r="7" spans="1:22" ht="18" customHeight="1">
      <c r="A7" s="64" t="s">
        <v>485</v>
      </c>
      <c r="B7" s="73">
        <v>10001</v>
      </c>
      <c r="C7" s="64" t="s">
        <v>600</v>
      </c>
      <c r="D7" s="82">
        <v>0.14000000000000001</v>
      </c>
      <c r="E7" s="73">
        <v>0</v>
      </c>
      <c r="F7" s="73">
        <v>1</v>
      </c>
      <c r="G7" s="64">
        <v>1</v>
      </c>
      <c r="H7" s="85" t="s">
        <v>473</v>
      </c>
      <c r="I7" s="64">
        <f>IF(ISBLANK(J7),"",VLOOKUP(J7,定义!$D$3:$E$40,2,FALSE))</f>
        <v>32</v>
      </c>
      <c r="J7" s="106" t="s">
        <v>599</v>
      </c>
      <c r="K7" s="79">
        <v>2</v>
      </c>
      <c r="L7" s="79" t="s">
        <v>608</v>
      </c>
      <c r="M7" s="79" t="s">
        <v>611</v>
      </c>
      <c r="N7" s="79" t="s">
        <v>609</v>
      </c>
      <c r="O7" s="79" t="s">
        <v>610</v>
      </c>
      <c r="P7" s="79" t="s">
        <v>616</v>
      </c>
      <c r="Q7" s="79">
        <v>500</v>
      </c>
      <c r="R7" s="79"/>
      <c r="S7" s="79"/>
      <c r="T7" s="79"/>
      <c r="U7" s="80"/>
      <c r="V7" s="80"/>
    </row>
    <row r="8" spans="1:22" ht="18" customHeight="1">
      <c r="A8" s="64" t="s">
        <v>485</v>
      </c>
      <c r="B8" s="73">
        <v>10001</v>
      </c>
      <c r="C8" s="64" t="s">
        <v>613</v>
      </c>
      <c r="D8" s="82">
        <v>0.14000000000000001</v>
      </c>
      <c r="E8" s="73">
        <v>0</v>
      </c>
      <c r="F8" s="73">
        <v>0</v>
      </c>
      <c r="G8" s="64"/>
      <c r="H8" s="85"/>
      <c r="I8" s="64">
        <f>IF(ISBLANK(J8),"",VLOOKUP(J8,定义!$D$3:$E$40,2,FALSE))</f>
        <v>14</v>
      </c>
      <c r="J8" s="106" t="s">
        <v>618</v>
      </c>
      <c r="K8" s="79" t="s">
        <v>619</v>
      </c>
      <c r="L8" s="79">
        <v>1</v>
      </c>
      <c r="M8" s="79">
        <v>0</v>
      </c>
      <c r="N8" s="79" t="s">
        <v>624</v>
      </c>
      <c r="O8" s="79"/>
      <c r="P8" s="79"/>
      <c r="Q8" s="79"/>
      <c r="R8" s="79"/>
      <c r="S8" s="79"/>
      <c r="T8" s="79"/>
      <c r="U8" s="80"/>
      <c r="V8" s="80"/>
    </row>
    <row r="9" spans="1:22" ht="18" customHeight="1">
      <c r="A9" s="64">
        <f>ROW()</f>
        <v>9</v>
      </c>
      <c r="B9" s="73">
        <v>10001</v>
      </c>
      <c r="C9" s="64" t="s">
        <v>613</v>
      </c>
      <c r="D9" s="82">
        <v>0.1</v>
      </c>
      <c r="E9" s="73">
        <v>3</v>
      </c>
      <c r="F9" s="73">
        <v>1</v>
      </c>
      <c r="G9" s="64"/>
      <c r="H9" s="85" t="s">
        <v>473</v>
      </c>
      <c r="I9" s="64">
        <f>IF(ISBLANK(J9),"",VLOOKUP(J9,定义!$D$3:$E$40,2,FALSE))</f>
        <v>31</v>
      </c>
      <c r="J9" s="106" t="s">
        <v>465</v>
      </c>
      <c r="K9" s="79"/>
      <c r="L9" s="79">
        <v>200</v>
      </c>
      <c r="M9" s="79">
        <v>-10</v>
      </c>
      <c r="N9" s="79">
        <v>300</v>
      </c>
      <c r="O9" s="79">
        <v>-70</v>
      </c>
      <c r="P9" s="79">
        <v>70</v>
      </c>
      <c r="Q9" s="79"/>
      <c r="R9" s="79"/>
      <c r="S9" s="79"/>
      <c r="T9" s="79"/>
      <c r="U9" s="80"/>
      <c r="V9" s="80"/>
    </row>
    <row r="10" spans="1:22" ht="18" customHeight="1">
      <c r="A10" s="64" t="s">
        <v>485</v>
      </c>
      <c r="B10" s="73">
        <v>10001</v>
      </c>
      <c r="C10" s="64" t="s">
        <v>614</v>
      </c>
      <c r="D10" s="82">
        <v>0</v>
      </c>
      <c r="E10" s="73">
        <v>0</v>
      </c>
      <c r="F10" s="73">
        <v>1</v>
      </c>
      <c r="G10" s="64"/>
      <c r="H10" s="85" t="s">
        <v>549</v>
      </c>
      <c r="I10" s="64">
        <f>IF(ISBLANK(J10),"",VLOOKUP(J10,定义!$D$3:$E$40,2,FALSE))</f>
        <v>1</v>
      </c>
      <c r="J10" s="106" t="s">
        <v>584</v>
      </c>
      <c r="K10" s="79">
        <v>300</v>
      </c>
      <c r="L10" s="79">
        <v>1</v>
      </c>
      <c r="M10" s="79"/>
      <c r="N10" s="79"/>
      <c r="O10" s="79"/>
      <c r="P10" s="79"/>
      <c r="Q10" s="79"/>
      <c r="R10" s="79"/>
      <c r="S10" s="79"/>
      <c r="T10" s="79"/>
      <c r="U10" s="80"/>
      <c r="V10" s="80"/>
    </row>
    <row r="11" spans="1:22" ht="18" customHeight="1">
      <c r="A11" s="64" t="s">
        <v>485</v>
      </c>
      <c r="B11" s="73">
        <v>10001</v>
      </c>
      <c r="C11" s="64" t="s">
        <v>615</v>
      </c>
      <c r="D11" s="82">
        <v>0</v>
      </c>
      <c r="E11" s="73">
        <v>0</v>
      </c>
      <c r="F11" s="73">
        <v>1</v>
      </c>
      <c r="G11" s="64"/>
      <c r="H11" s="85" t="s">
        <v>547</v>
      </c>
      <c r="I11" s="64">
        <f>IF(ISBLANK(J11),"",VLOOKUP(J11,定义!$D$3:$E$40,2,FALSE))</f>
        <v>9</v>
      </c>
      <c r="J11" s="106" t="s">
        <v>494</v>
      </c>
      <c r="K11" s="79">
        <v>20</v>
      </c>
      <c r="L11" s="79">
        <v>20</v>
      </c>
      <c r="M11" s="79">
        <v>0</v>
      </c>
      <c r="N11" s="79">
        <v>0.2</v>
      </c>
      <c r="O11" s="79">
        <v>160</v>
      </c>
      <c r="P11" s="79"/>
      <c r="Q11" s="79"/>
      <c r="R11" s="79"/>
      <c r="S11" s="79"/>
      <c r="T11" s="79"/>
      <c r="U11" s="80"/>
      <c r="V11" s="80"/>
    </row>
    <row r="12" spans="1:22" ht="18" customHeight="1">
      <c r="A12" s="64" t="s">
        <v>485</v>
      </c>
      <c r="B12" s="73">
        <v>10001</v>
      </c>
      <c r="C12" s="64" t="s">
        <v>587</v>
      </c>
      <c r="D12" s="82">
        <v>0</v>
      </c>
      <c r="E12" s="73">
        <v>0</v>
      </c>
      <c r="F12" s="73">
        <v>1</v>
      </c>
      <c r="G12" s="64"/>
      <c r="H12" s="85" t="s">
        <v>549</v>
      </c>
      <c r="I12" s="64">
        <f>IF(ISBLANK(J12),"",VLOOKUP(J12,定义!$D$3:$E$40,2,FALSE))</f>
        <v>2</v>
      </c>
      <c r="J12" s="106" t="s">
        <v>575</v>
      </c>
      <c r="K12" s="79">
        <v>0.05</v>
      </c>
      <c r="L12" s="79">
        <v>1</v>
      </c>
      <c r="M12" s="79"/>
      <c r="N12" s="79"/>
      <c r="O12" s="79"/>
      <c r="P12" s="79"/>
      <c r="Q12" s="79"/>
      <c r="R12" s="79"/>
      <c r="S12" s="79"/>
      <c r="T12" s="79"/>
      <c r="U12" s="80"/>
      <c r="V12" s="80"/>
    </row>
    <row r="13" spans="1:22" ht="18" customHeight="1">
      <c r="A13" s="64" t="s">
        <v>485</v>
      </c>
      <c r="B13" s="73">
        <v>10001</v>
      </c>
      <c r="C13" s="64" t="s">
        <v>587</v>
      </c>
      <c r="D13" s="82">
        <v>0</v>
      </c>
      <c r="E13" s="73">
        <v>0</v>
      </c>
      <c r="F13" s="73">
        <v>1</v>
      </c>
      <c r="G13" s="64"/>
      <c r="H13" s="85" t="s">
        <v>550</v>
      </c>
      <c r="I13" s="64">
        <f>IF(ISBLANK(J13),"",VLOOKUP(J13,定义!$D$3:$E$40,2,FALSE))</f>
        <v>6</v>
      </c>
      <c r="J13" s="106" t="s">
        <v>496</v>
      </c>
      <c r="K13" s="79">
        <v>0.1</v>
      </c>
      <c r="L13" s="79"/>
      <c r="M13" s="79"/>
      <c r="N13" s="79"/>
      <c r="O13" s="79"/>
      <c r="P13" s="79"/>
      <c r="Q13" s="79"/>
      <c r="R13" s="79"/>
      <c r="S13" s="79"/>
      <c r="T13" s="79"/>
      <c r="U13" s="80"/>
      <c r="V13" s="80"/>
    </row>
    <row r="14" spans="1:22" ht="18" customHeight="1">
      <c r="A14" s="64" t="s">
        <v>485</v>
      </c>
      <c r="B14" s="73">
        <v>10001</v>
      </c>
      <c r="C14" s="64" t="s">
        <v>587</v>
      </c>
      <c r="D14" s="82">
        <v>0</v>
      </c>
      <c r="E14" s="73">
        <v>0</v>
      </c>
      <c r="F14" s="73">
        <v>1</v>
      </c>
      <c r="G14" s="64"/>
      <c r="H14" s="85" t="s">
        <v>551</v>
      </c>
      <c r="I14" s="64">
        <f>IF(ISBLANK(J14),"",VLOOKUP(J14,定义!$D$3:$E$40,2,FALSE))</f>
        <v>7</v>
      </c>
      <c r="J14" s="106" t="s">
        <v>532</v>
      </c>
      <c r="K14" s="79">
        <v>40</v>
      </c>
      <c r="L14" s="79">
        <v>0</v>
      </c>
      <c r="M14" s="79">
        <v>0.1</v>
      </c>
      <c r="N14" s="79"/>
      <c r="O14" s="79"/>
      <c r="P14" s="79"/>
      <c r="Q14" s="79"/>
      <c r="R14" s="79"/>
      <c r="S14" s="79"/>
      <c r="T14" s="79"/>
      <c r="U14" s="80"/>
      <c r="V14" s="80"/>
    </row>
    <row r="15" spans="1:22" ht="18" customHeight="1">
      <c r="A15" s="64" t="s">
        <v>485</v>
      </c>
      <c r="B15" s="73">
        <v>10001</v>
      </c>
      <c r="C15" s="64" t="s">
        <v>587</v>
      </c>
      <c r="D15" s="82">
        <v>0</v>
      </c>
      <c r="E15" s="73">
        <v>0</v>
      </c>
      <c r="F15" s="73">
        <v>1</v>
      </c>
      <c r="G15" s="64"/>
      <c r="H15" s="85" t="s">
        <v>549</v>
      </c>
      <c r="I15" s="64">
        <f>IF(ISBLANK(J15),"",VLOOKUP(J15,定义!$D$3:$E$40,2,FALSE))</f>
        <v>3</v>
      </c>
      <c r="J15" s="106" t="s">
        <v>507</v>
      </c>
      <c r="K15" s="79" t="s">
        <v>546</v>
      </c>
      <c r="L15" s="79"/>
      <c r="M15" s="79">
        <v>0</v>
      </c>
      <c r="N15" s="79">
        <v>0</v>
      </c>
      <c r="O15" s="79"/>
      <c r="P15" s="79"/>
      <c r="Q15" s="79"/>
      <c r="R15" s="79"/>
      <c r="S15" s="79"/>
      <c r="T15" s="79"/>
      <c r="U15" s="80"/>
      <c r="V15" s="80"/>
    </row>
    <row r="16" spans="1:22" ht="18" customHeight="1">
      <c r="A16" s="64" t="s">
        <v>485</v>
      </c>
      <c r="B16" s="73">
        <v>10001</v>
      </c>
      <c r="C16" s="64" t="s">
        <v>587</v>
      </c>
      <c r="D16" s="82">
        <v>0.28000000000000003</v>
      </c>
      <c r="E16" s="73"/>
      <c r="F16" s="73"/>
      <c r="G16" s="64"/>
      <c r="H16" s="85"/>
      <c r="I16" s="64">
        <f>IF(ISBLANK(J16),"",VLOOKUP(J16,定义!$D$3:$E$40,2,FALSE))</f>
        <v>18</v>
      </c>
      <c r="J16" s="106" t="s">
        <v>526</v>
      </c>
      <c r="K16" s="79">
        <v>1</v>
      </c>
      <c r="L16" s="79">
        <v>0</v>
      </c>
      <c r="M16" s="79">
        <v>2</v>
      </c>
      <c r="N16" s="79">
        <v>2</v>
      </c>
      <c r="O16" s="79"/>
      <c r="P16" s="79"/>
      <c r="Q16" s="79"/>
      <c r="R16" s="79"/>
      <c r="S16" s="79"/>
      <c r="T16" s="79"/>
      <c r="U16" s="80"/>
      <c r="V16" s="80"/>
    </row>
    <row r="17" spans="1:22" ht="18" customHeight="1">
      <c r="A17" s="64" t="s">
        <v>485</v>
      </c>
      <c r="B17" s="73">
        <v>10001</v>
      </c>
      <c r="C17" s="64" t="s">
        <v>587</v>
      </c>
      <c r="D17" s="82">
        <v>0</v>
      </c>
      <c r="E17" s="73">
        <v>1</v>
      </c>
      <c r="F17" s="73">
        <v>1</v>
      </c>
      <c r="G17" s="64"/>
      <c r="H17" s="85" t="s">
        <v>573</v>
      </c>
      <c r="I17" s="64">
        <f>IF(ISBLANK(J17),"",VLOOKUP(J17,定义!$D$3:$E$40,2,FALSE))</f>
        <v>5</v>
      </c>
      <c r="J17" s="106" t="s">
        <v>504</v>
      </c>
      <c r="K17" s="79">
        <v>1</v>
      </c>
      <c r="L17" s="79">
        <v>0</v>
      </c>
      <c r="M17" s="79"/>
      <c r="N17" s="79"/>
      <c r="O17" s="79"/>
      <c r="P17" s="79"/>
      <c r="Q17" s="79"/>
      <c r="R17" s="79"/>
      <c r="S17" s="79"/>
      <c r="T17" s="79"/>
      <c r="U17" s="80"/>
      <c r="V17" s="80"/>
    </row>
    <row r="18" spans="1:22" ht="18" customHeight="1">
      <c r="A18" s="64">
        <f>ROW()</f>
        <v>18</v>
      </c>
      <c r="B18" s="73">
        <v>10001</v>
      </c>
      <c r="C18" s="64" t="s">
        <v>614</v>
      </c>
      <c r="D18" s="82">
        <v>0.1</v>
      </c>
      <c r="E18" s="73">
        <v>3</v>
      </c>
      <c r="F18" s="64"/>
      <c r="G18" s="64"/>
      <c r="H18" s="85" t="s">
        <v>549</v>
      </c>
      <c r="I18" s="64">
        <f>IF(ISBLANK(J18),"",VLOOKUP(J18,定义!$D$3:$E$40,2,FALSE))</f>
        <v>1</v>
      </c>
      <c r="J18" s="106" t="s">
        <v>584</v>
      </c>
      <c r="K18" s="79">
        <v>600</v>
      </c>
      <c r="L18" s="79">
        <v>1</v>
      </c>
      <c r="M18" s="79"/>
      <c r="N18" s="79"/>
      <c r="O18" s="79"/>
      <c r="P18" s="79"/>
      <c r="Q18" s="79"/>
      <c r="R18" s="79"/>
      <c r="S18" s="79"/>
      <c r="T18" s="79"/>
      <c r="U18" s="80"/>
      <c r="V18" s="80"/>
    </row>
    <row r="19" spans="1:22" s="83" customFormat="1" ht="18" customHeight="1">
      <c r="A19" s="73" t="s">
        <v>485</v>
      </c>
      <c r="B19" s="73"/>
      <c r="C19" s="73"/>
      <c r="D19" s="82"/>
      <c r="E19" s="73"/>
      <c r="F19" s="73"/>
      <c r="G19" s="73"/>
      <c r="H19" s="86"/>
      <c r="I19" s="73"/>
      <c r="J19" s="106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80"/>
      <c r="V19" s="80"/>
    </row>
    <row r="20" spans="1:22" ht="18" customHeight="1">
      <c r="A20" s="64">
        <f>ROW()</f>
        <v>20</v>
      </c>
      <c r="B20" s="73">
        <v>20001</v>
      </c>
      <c r="C20" s="64" t="s">
        <v>588</v>
      </c>
      <c r="D20" s="82">
        <v>0</v>
      </c>
      <c r="E20" s="73">
        <v>0</v>
      </c>
      <c r="F20" s="73"/>
      <c r="G20" s="73"/>
      <c r="H20" s="85"/>
      <c r="I20" s="64">
        <f>IF(ISBLANK(J20),"",VLOOKUP(J20,定义!$D$3:$E$40,2,FALSE))</f>
        <v>11</v>
      </c>
      <c r="J20" s="106" t="s">
        <v>574</v>
      </c>
      <c r="K20" s="79">
        <v>15</v>
      </c>
      <c r="L20" s="79">
        <v>0</v>
      </c>
      <c r="M20" s="79">
        <v>0.1</v>
      </c>
      <c r="N20" s="79"/>
      <c r="O20" s="79"/>
      <c r="P20" s="79"/>
      <c r="Q20" s="79"/>
      <c r="R20" s="79"/>
      <c r="S20" s="79"/>
      <c r="T20" s="79"/>
      <c r="U20" s="80"/>
      <c r="V20" s="80"/>
    </row>
    <row r="21" spans="1:22" ht="18" customHeight="1">
      <c r="A21" s="64">
        <f>ROW()</f>
        <v>21</v>
      </c>
      <c r="B21" s="73">
        <v>20001</v>
      </c>
      <c r="C21" s="64" t="s">
        <v>588</v>
      </c>
      <c r="D21" s="82">
        <v>0.14000000000000001</v>
      </c>
      <c r="E21" s="73">
        <v>1</v>
      </c>
      <c r="F21" s="73"/>
      <c r="G21" s="64"/>
      <c r="H21" s="85" t="s">
        <v>473</v>
      </c>
      <c r="I21" s="64">
        <f>IF(ISBLANK(J21),"",VLOOKUP(J21,定义!$D$3:$E$40,2,FALSE))</f>
        <v>31</v>
      </c>
      <c r="J21" s="106" t="s">
        <v>465</v>
      </c>
      <c r="K21" s="79">
        <v>0</v>
      </c>
      <c r="L21" s="79">
        <v>200</v>
      </c>
      <c r="M21" s="79">
        <v>-10</v>
      </c>
      <c r="N21" s="79">
        <v>300</v>
      </c>
      <c r="O21" s="79">
        <v>-70</v>
      </c>
      <c r="P21" s="79">
        <v>70</v>
      </c>
      <c r="Q21" s="79"/>
      <c r="R21" s="79"/>
      <c r="S21" s="79"/>
      <c r="T21" s="79"/>
      <c r="U21" s="80"/>
      <c r="V21" s="80"/>
    </row>
    <row r="22" spans="1:22" ht="18" customHeight="1">
      <c r="A22" s="64" t="s">
        <v>485</v>
      </c>
      <c r="B22" s="98">
        <v>20001</v>
      </c>
      <c r="C22" s="64" t="s">
        <v>588</v>
      </c>
      <c r="D22" s="82">
        <v>0.14000000000000001</v>
      </c>
      <c r="E22" s="73">
        <v>1</v>
      </c>
      <c r="F22" s="73"/>
      <c r="G22" s="64"/>
      <c r="H22" s="85" t="s">
        <v>549</v>
      </c>
      <c r="I22" s="64">
        <f>IF(ISBLANK(J22),"",VLOOKUP(J22,定义!$D$3:$E$40,2,FALSE))</f>
        <v>2</v>
      </c>
      <c r="J22" s="106" t="s">
        <v>495</v>
      </c>
      <c r="K22" s="79">
        <v>0.05</v>
      </c>
      <c r="L22" s="79">
        <v>1</v>
      </c>
      <c r="M22" s="79"/>
      <c r="N22" s="79"/>
      <c r="O22" s="79"/>
      <c r="P22" s="79"/>
      <c r="Q22" s="79"/>
      <c r="R22" s="79"/>
      <c r="S22" s="79"/>
      <c r="T22" s="79"/>
      <c r="U22" s="80"/>
      <c r="V22" s="80"/>
    </row>
    <row r="23" spans="1:22" ht="18" customHeight="1">
      <c r="A23" s="64" t="s">
        <v>485</v>
      </c>
      <c r="B23" s="98">
        <v>20001</v>
      </c>
      <c r="C23" s="64" t="s">
        <v>588</v>
      </c>
      <c r="D23" s="82">
        <v>0.14000000000000001</v>
      </c>
      <c r="E23" s="73">
        <v>1</v>
      </c>
      <c r="F23" s="73"/>
      <c r="G23" s="64"/>
      <c r="H23" s="85" t="s">
        <v>550</v>
      </c>
      <c r="I23" s="64">
        <f>IF(ISBLANK(J23),"",VLOOKUP(J23,定义!$D$3:$E$40,2,FALSE))</f>
        <v>6</v>
      </c>
      <c r="J23" s="106" t="s">
        <v>496</v>
      </c>
      <c r="K23" s="79">
        <v>0.1</v>
      </c>
      <c r="L23" s="79"/>
      <c r="M23" s="79"/>
      <c r="N23" s="79"/>
      <c r="O23" s="79"/>
      <c r="P23" s="79"/>
      <c r="Q23" s="79"/>
      <c r="R23" s="79"/>
      <c r="S23" s="79"/>
      <c r="T23" s="79"/>
      <c r="U23" s="80"/>
      <c r="V23" s="80"/>
    </row>
    <row r="24" spans="1:22" ht="18" customHeight="1">
      <c r="A24" s="64">
        <f>ROW()</f>
        <v>24</v>
      </c>
      <c r="B24" s="73">
        <v>20001</v>
      </c>
      <c r="C24" s="64" t="s">
        <v>588</v>
      </c>
      <c r="D24" s="82">
        <v>0.14000000000000001</v>
      </c>
      <c r="E24" s="73">
        <v>1</v>
      </c>
      <c r="F24" s="73"/>
      <c r="G24" s="64"/>
      <c r="H24" s="85" t="s">
        <v>549</v>
      </c>
      <c r="I24" s="64">
        <f>IF(ISBLANK(J24),"",VLOOKUP(J24,定义!$D$3:$E$40,2,FALSE))</f>
        <v>1</v>
      </c>
      <c r="J24" s="106" t="s">
        <v>466</v>
      </c>
      <c r="K24" s="79">
        <v>300</v>
      </c>
      <c r="L24" s="79">
        <v>1</v>
      </c>
      <c r="M24" s="79"/>
      <c r="N24" s="79"/>
      <c r="O24" s="79"/>
      <c r="P24" s="79"/>
      <c r="Q24" s="79"/>
      <c r="R24" s="79"/>
      <c r="S24" s="79"/>
      <c r="T24" s="79"/>
      <c r="U24" s="80"/>
      <c r="V24" s="80"/>
    </row>
    <row r="25" spans="1:22" ht="18" customHeight="1">
      <c r="A25" s="64">
        <f>ROW()</f>
        <v>25</v>
      </c>
      <c r="B25" s="73">
        <v>20001</v>
      </c>
      <c r="C25" s="64" t="s">
        <v>588</v>
      </c>
      <c r="D25" s="82">
        <v>0.14000000000000001</v>
      </c>
      <c r="E25" s="73">
        <v>1</v>
      </c>
      <c r="F25" s="73"/>
      <c r="G25" s="64"/>
      <c r="H25" s="85" t="s">
        <v>550</v>
      </c>
      <c r="I25" s="64">
        <f>IF(ISBLANK(J25),"",VLOOKUP(J25,定义!$D$3:$E$40,2,FALSE))</f>
        <v>9</v>
      </c>
      <c r="J25" s="106" t="s">
        <v>494</v>
      </c>
      <c r="K25" s="79">
        <v>20</v>
      </c>
      <c r="L25" s="79">
        <v>20</v>
      </c>
      <c r="M25" s="79">
        <v>0</v>
      </c>
      <c r="N25" s="79">
        <v>0.2</v>
      </c>
      <c r="O25" s="79">
        <v>160</v>
      </c>
      <c r="P25" s="79"/>
      <c r="Q25" s="79"/>
      <c r="R25" s="79"/>
      <c r="S25" s="79"/>
      <c r="T25" s="79"/>
      <c r="U25" s="80"/>
      <c r="V25" s="80"/>
    </row>
    <row r="26" spans="1:22" ht="18" customHeight="1">
      <c r="A26" s="64">
        <f>ROW()</f>
        <v>26</v>
      </c>
      <c r="B26" s="73">
        <v>20001</v>
      </c>
      <c r="C26" s="64" t="s">
        <v>588</v>
      </c>
      <c r="D26" s="82">
        <v>0.14000000000000001</v>
      </c>
      <c r="E26" s="73">
        <v>1</v>
      </c>
      <c r="F26" s="73"/>
      <c r="G26" s="64"/>
      <c r="H26" s="85" t="s">
        <v>555</v>
      </c>
      <c r="I26" s="64">
        <f>IF(ISBLANK(J26),"",VLOOKUP(J26,定义!$D$3:$E$40,2,FALSE))</f>
        <v>7</v>
      </c>
      <c r="J26" s="106" t="s">
        <v>532</v>
      </c>
      <c r="K26" s="79">
        <v>40</v>
      </c>
      <c r="L26" s="79">
        <v>0</v>
      </c>
      <c r="M26" s="79">
        <v>0.1</v>
      </c>
      <c r="N26" s="79"/>
      <c r="O26" s="79"/>
      <c r="P26" s="79"/>
      <c r="Q26" s="79"/>
      <c r="R26" s="79"/>
      <c r="S26" s="79"/>
      <c r="T26" s="79"/>
      <c r="U26" s="80"/>
      <c r="V26" s="80"/>
    </row>
    <row r="27" spans="1:22" ht="18" customHeight="1">
      <c r="A27" s="64">
        <f>ROW()</f>
        <v>27</v>
      </c>
      <c r="B27" s="73">
        <v>20001</v>
      </c>
      <c r="C27" s="64" t="s">
        <v>588</v>
      </c>
      <c r="D27" s="82">
        <v>0.3</v>
      </c>
      <c r="E27" s="73"/>
      <c r="F27" s="73"/>
      <c r="G27" s="64"/>
      <c r="H27" s="85"/>
      <c r="I27" s="64">
        <f>IF(ISBLANK(J27),"",VLOOKUP(J27,定义!$D$3:$E$40,2,FALSE))</f>
        <v>18</v>
      </c>
      <c r="J27" s="106" t="s">
        <v>463</v>
      </c>
      <c r="K27" s="79">
        <v>1</v>
      </c>
      <c r="L27" s="79">
        <v>0</v>
      </c>
      <c r="M27" s="79">
        <v>2</v>
      </c>
      <c r="N27" s="79">
        <v>3</v>
      </c>
      <c r="O27" s="79"/>
      <c r="P27" s="79"/>
      <c r="Q27" s="79"/>
      <c r="R27" s="79"/>
      <c r="S27" s="79"/>
      <c r="T27" s="79"/>
      <c r="U27" s="80"/>
      <c r="V27" s="80"/>
    </row>
    <row r="28" spans="1:22" s="83" customFormat="1" ht="18" customHeight="1">
      <c r="A28" s="73" t="s">
        <v>485</v>
      </c>
      <c r="B28" s="73"/>
      <c r="C28" s="73"/>
      <c r="D28" s="82"/>
      <c r="E28" s="73"/>
      <c r="F28" s="73"/>
      <c r="G28" s="73"/>
      <c r="H28" s="86"/>
      <c r="I28" s="73"/>
      <c r="J28" s="106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80"/>
      <c r="V28" s="80"/>
    </row>
    <row r="29" spans="1:22" ht="18" customHeight="1">
      <c r="A29" s="64">
        <f>ROW()</f>
        <v>29</v>
      </c>
      <c r="B29" s="73">
        <v>30001</v>
      </c>
      <c r="C29" s="64" t="s">
        <v>589</v>
      </c>
      <c r="D29" s="82">
        <v>0</v>
      </c>
      <c r="E29" s="73">
        <v>0</v>
      </c>
      <c r="F29" s="73"/>
      <c r="G29" s="73"/>
      <c r="H29" s="85"/>
      <c r="I29" s="64">
        <f>IF(ISBLANK(J29),"",VLOOKUP(J29,定义!$D$3:$E$40,2,FALSE))</f>
        <v>11</v>
      </c>
      <c r="J29" s="106" t="s">
        <v>291</v>
      </c>
      <c r="K29" s="79">
        <v>30</v>
      </c>
      <c r="L29" s="79">
        <v>0</v>
      </c>
      <c r="M29" s="79">
        <v>0.1</v>
      </c>
      <c r="N29" s="79"/>
      <c r="O29" s="79"/>
      <c r="P29" s="79"/>
      <c r="Q29" s="79"/>
      <c r="R29" s="79"/>
      <c r="S29" s="79"/>
      <c r="T29" s="79"/>
      <c r="U29" s="80"/>
      <c r="V29" s="80"/>
    </row>
    <row r="30" spans="1:22" ht="18" customHeight="1">
      <c r="A30" s="64">
        <f>ROW()</f>
        <v>30</v>
      </c>
      <c r="B30" s="73">
        <v>30001</v>
      </c>
      <c r="C30" s="64" t="s">
        <v>589</v>
      </c>
      <c r="D30" s="82">
        <v>0.16</v>
      </c>
      <c r="E30" s="73">
        <v>1</v>
      </c>
      <c r="F30" s="73"/>
      <c r="G30" s="64"/>
      <c r="H30" s="85" t="s">
        <v>473</v>
      </c>
      <c r="I30" s="64">
        <f>IF(ISBLANK(J30),"",VLOOKUP(J30,定义!$D$3:$E$40,2,FALSE))</f>
        <v>31</v>
      </c>
      <c r="J30" s="106" t="s">
        <v>465</v>
      </c>
      <c r="K30" s="79">
        <v>0</v>
      </c>
      <c r="L30" s="79">
        <v>200</v>
      </c>
      <c r="M30" s="79">
        <v>-10</v>
      </c>
      <c r="N30" s="79">
        <v>300</v>
      </c>
      <c r="O30" s="79">
        <v>-70</v>
      </c>
      <c r="P30" s="79">
        <v>70</v>
      </c>
      <c r="Q30" s="79"/>
      <c r="R30" s="79"/>
      <c r="S30" s="79"/>
      <c r="T30" s="79"/>
      <c r="U30" s="80"/>
      <c r="V30" s="80"/>
    </row>
    <row r="31" spans="1:22" ht="18" customHeight="1">
      <c r="A31" s="64">
        <f>ROW()</f>
        <v>31</v>
      </c>
      <c r="B31" s="73">
        <v>30001</v>
      </c>
      <c r="C31" s="64" t="s">
        <v>589</v>
      </c>
      <c r="D31" s="82">
        <v>0.16</v>
      </c>
      <c r="E31" s="73">
        <v>1</v>
      </c>
      <c r="F31" s="73"/>
      <c r="G31" s="64"/>
      <c r="H31" s="85" t="s">
        <v>549</v>
      </c>
      <c r="I31" s="64">
        <f>IF(ISBLANK(J31),"",VLOOKUP(J31,定义!$D$3:$E$40,2,FALSE))</f>
        <v>1</v>
      </c>
      <c r="J31" s="106" t="s">
        <v>466</v>
      </c>
      <c r="K31" s="79">
        <v>300</v>
      </c>
      <c r="L31" s="79">
        <v>1</v>
      </c>
      <c r="M31" s="79"/>
      <c r="N31" s="79"/>
      <c r="O31" s="79"/>
      <c r="P31" s="79"/>
      <c r="Q31" s="79"/>
      <c r="R31" s="79"/>
      <c r="S31" s="79"/>
      <c r="T31" s="79"/>
      <c r="U31" s="80"/>
      <c r="V31" s="80"/>
    </row>
    <row r="32" spans="1:22" ht="18" customHeight="1">
      <c r="A32" s="64">
        <f>ROW()</f>
        <v>32</v>
      </c>
      <c r="B32" s="73">
        <v>30001</v>
      </c>
      <c r="C32" s="64" t="s">
        <v>589</v>
      </c>
      <c r="D32" s="82">
        <v>0.16</v>
      </c>
      <c r="E32" s="73">
        <v>1</v>
      </c>
      <c r="F32" s="73"/>
      <c r="G32" s="64"/>
      <c r="H32" s="85" t="s">
        <v>557</v>
      </c>
      <c r="I32" s="64">
        <f>IF(ISBLANK(J32),"",VLOOKUP(J32,定义!$D$3:$E$40,2,FALSE))</f>
        <v>8</v>
      </c>
      <c r="J32" s="106" t="s">
        <v>483</v>
      </c>
      <c r="K32" s="79">
        <v>50</v>
      </c>
      <c r="L32" s="79">
        <v>150</v>
      </c>
      <c r="M32" s="79">
        <v>0</v>
      </c>
      <c r="N32" s="79">
        <v>0.25</v>
      </c>
      <c r="O32" s="79">
        <v>200</v>
      </c>
      <c r="P32" s="79"/>
      <c r="Q32" s="79"/>
      <c r="R32" s="79"/>
      <c r="S32" s="79"/>
      <c r="T32" s="79"/>
      <c r="U32" s="80"/>
      <c r="V32" s="80"/>
    </row>
    <row r="33" spans="1:22" ht="18" customHeight="1">
      <c r="A33" s="64">
        <f>ROW()</f>
        <v>33</v>
      </c>
      <c r="B33" s="73">
        <v>30001</v>
      </c>
      <c r="C33" s="64" t="s">
        <v>589</v>
      </c>
      <c r="D33" s="82">
        <v>0.16</v>
      </c>
      <c r="E33" s="73">
        <v>1</v>
      </c>
      <c r="F33" s="73"/>
      <c r="G33" s="64"/>
      <c r="H33" s="85" t="s">
        <v>550</v>
      </c>
      <c r="I33" s="64">
        <f>IF(ISBLANK(J33),"",VLOOKUP(J33,定义!$D$3:$E$40,2,FALSE))</f>
        <v>9</v>
      </c>
      <c r="J33" s="106" t="s">
        <v>494</v>
      </c>
      <c r="K33" s="79">
        <v>50</v>
      </c>
      <c r="L33" s="79">
        <v>60</v>
      </c>
      <c r="M33" s="79">
        <v>0</v>
      </c>
      <c r="N33" s="79">
        <v>0.2</v>
      </c>
      <c r="O33" s="79">
        <v>180</v>
      </c>
      <c r="P33" s="79"/>
      <c r="Q33" s="79"/>
      <c r="R33" s="79"/>
      <c r="S33" s="79"/>
      <c r="T33" s="79"/>
      <c r="U33" s="80"/>
      <c r="V33" s="80"/>
    </row>
    <row r="34" spans="1:22" ht="18" customHeight="1">
      <c r="A34" s="64" t="s">
        <v>485</v>
      </c>
      <c r="B34" s="98">
        <v>30001</v>
      </c>
      <c r="C34" s="64" t="s">
        <v>589</v>
      </c>
      <c r="D34" s="82">
        <v>0.16</v>
      </c>
      <c r="E34" s="73">
        <v>1</v>
      </c>
      <c r="F34" s="73"/>
      <c r="G34" s="64"/>
      <c r="H34" s="85" t="s">
        <v>549</v>
      </c>
      <c r="I34" s="64">
        <f>IF(ISBLANK(J34),"",VLOOKUP(J34,定义!$D$3:$E$40,2,FALSE))</f>
        <v>2</v>
      </c>
      <c r="J34" s="106" t="s">
        <v>575</v>
      </c>
      <c r="K34" s="79">
        <v>0.05</v>
      </c>
      <c r="L34" s="79">
        <v>1</v>
      </c>
      <c r="M34" s="79"/>
      <c r="N34" s="79"/>
      <c r="O34" s="79"/>
      <c r="P34" s="79"/>
      <c r="Q34" s="79"/>
      <c r="R34" s="79"/>
      <c r="S34" s="79"/>
      <c r="T34" s="79"/>
      <c r="U34" s="80"/>
      <c r="V34" s="80"/>
    </row>
    <row r="35" spans="1:22" ht="18" customHeight="1">
      <c r="A35" s="64" t="s">
        <v>485</v>
      </c>
      <c r="B35" s="98">
        <v>30001</v>
      </c>
      <c r="C35" s="64" t="s">
        <v>589</v>
      </c>
      <c r="D35" s="82">
        <v>0.16</v>
      </c>
      <c r="E35" s="73">
        <v>1</v>
      </c>
      <c r="F35" s="73"/>
      <c r="G35" s="64"/>
      <c r="H35" s="85" t="s">
        <v>550</v>
      </c>
      <c r="I35" s="64">
        <f>IF(ISBLANK(J35),"",VLOOKUP(J35,定义!$D$3:$E$40,2,FALSE))</f>
        <v>6</v>
      </c>
      <c r="J35" s="106" t="s">
        <v>496</v>
      </c>
      <c r="K35" s="79">
        <v>1</v>
      </c>
      <c r="L35" s="79"/>
      <c r="M35" s="79"/>
      <c r="N35" s="79"/>
      <c r="O35" s="79"/>
      <c r="P35" s="79"/>
      <c r="Q35" s="79"/>
      <c r="R35" s="79"/>
      <c r="S35" s="79"/>
      <c r="T35" s="79"/>
      <c r="U35" s="80"/>
      <c r="V35" s="80"/>
    </row>
    <row r="36" spans="1:22" ht="18" customHeight="1">
      <c r="A36" s="64" t="s">
        <v>485</v>
      </c>
      <c r="B36" s="98">
        <v>30001</v>
      </c>
      <c r="C36" s="64" t="s">
        <v>589</v>
      </c>
      <c r="D36" s="82">
        <v>0.16</v>
      </c>
      <c r="E36" s="73">
        <v>1</v>
      </c>
      <c r="F36" s="73"/>
      <c r="G36" s="64"/>
      <c r="H36" s="85" t="s">
        <v>556</v>
      </c>
      <c r="I36" s="64">
        <f>IF(ISBLANK(J36),"",VLOOKUP(J36,定义!$D$3:$E$40,2,FALSE))</f>
        <v>7</v>
      </c>
      <c r="J36" s="106" t="s">
        <v>532</v>
      </c>
      <c r="K36" s="79">
        <v>50</v>
      </c>
      <c r="L36" s="79">
        <v>0</v>
      </c>
      <c r="M36" s="79">
        <v>0.1</v>
      </c>
      <c r="N36" s="79"/>
      <c r="O36" s="79"/>
      <c r="P36" s="79"/>
      <c r="Q36" s="79"/>
      <c r="R36" s="79"/>
      <c r="S36" s="79"/>
      <c r="T36" s="79"/>
      <c r="U36" s="80"/>
      <c r="V36" s="80"/>
    </row>
    <row r="37" spans="1:22" ht="18" customHeight="1">
      <c r="A37" s="64">
        <f>ROW()</f>
        <v>37</v>
      </c>
      <c r="B37" s="73">
        <v>30001</v>
      </c>
      <c r="C37" s="64" t="s">
        <v>589</v>
      </c>
      <c r="D37" s="82">
        <v>0.35</v>
      </c>
      <c r="E37" s="73"/>
      <c r="F37" s="73"/>
      <c r="G37" s="64"/>
      <c r="H37" s="85"/>
      <c r="I37" s="64">
        <f>IF(ISBLANK(J37),"",VLOOKUP(J37,定义!$D$3:$E$40,2,FALSE))</f>
        <v>18</v>
      </c>
      <c r="J37" s="106" t="s">
        <v>463</v>
      </c>
      <c r="K37" s="79">
        <v>1</v>
      </c>
      <c r="L37" s="79">
        <v>0</v>
      </c>
      <c r="M37" s="79">
        <v>2</v>
      </c>
      <c r="N37" s="79">
        <v>4</v>
      </c>
      <c r="O37" s="79"/>
      <c r="P37" s="79"/>
      <c r="Q37" s="79"/>
      <c r="R37" s="79"/>
      <c r="S37" s="79"/>
      <c r="T37" s="79"/>
      <c r="U37" s="80"/>
      <c r="V37" s="80"/>
    </row>
    <row r="38" spans="1:22" ht="18" customHeight="1">
      <c r="A38" s="64" t="s">
        <v>545</v>
      </c>
      <c r="B38" s="73"/>
      <c r="C38" s="64"/>
      <c r="D38" s="82"/>
      <c r="E38" s="73"/>
      <c r="F38" s="73"/>
      <c r="G38" s="64"/>
      <c r="H38" s="64"/>
      <c r="I38" s="64" t="str">
        <f>IF(ISBLANK(J38),"",VLOOKUP(J38,定义!$D$3:$E$40,2,FALSE))</f>
        <v/>
      </c>
      <c r="J38" s="106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80"/>
      <c r="V38" s="80"/>
    </row>
    <row r="39" spans="1:22" ht="18" customHeight="1">
      <c r="A39" s="64">
        <f>ROW()</f>
        <v>39</v>
      </c>
      <c r="B39" s="73">
        <v>40001</v>
      </c>
      <c r="C39" s="64" t="s">
        <v>590</v>
      </c>
      <c r="D39" s="82">
        <v>0</v>
      </c>
      <c r="E39" s="73">
        <v>0</v>
      </c>
      <c r="F39" s="73"/>
      <c r="G39" s="64"/>
      <c r="H39" s="85"/>
      <c r="I39" s="64">
        <f>IF(ISBLANK(J39),"",VLOOKUP(J39,定义!$D$3:$E$40,2,FALSE))</f>
        <v>11</v>
      </c>
      <c r="J39" s="106" t="s">
        <v>291</v>
      </c>
      <c r="K39" s="79">
        <v>40</v>
      </c>
      <c r="L39" s="79">
        <v>0</v>
      </c>
      <c r="M39" s="79">
        <v>0.1</v>
      </c>
      <c r="N39" s="79"/>
      <c r="O39" s="79"/>
      <c r="P39" s="79"/>
      <c r="Q39" s="79"/>
      <c r="R39" s="79"/>
      <c r="S39" s="79"/>
      <c r="T39" s="79"/>
      <c r="U39" s="80"/>
      <c r="V39" s="80"/>
    </row>
    <row r="40" spans="1:22" ht="18" customHeight="1">
      <c r="A40" s="64">
        <f>ROW()</f>
        <v>40</v>
      </c>
      <c r="B40" s="73">
        <v>40001</v>
      </c>
      <c r="C40" s="64" t="s">
        <v>590</v>
      </c>
      <c r="D40" s="82">
        <v>0.16</v>
      </c>
      <c r="E40" s="73">
        <v>1</v>
      </c>
      <c r="F40" s="73"/>
      <c r="G40" s="64"/>
      <c r="H40" s="85" t="s">
        <v>473</v>
      </c>
      <c r="I40" s="64">
        <f>IF(ISBLANK(J40),"",VLOOKUP(J40,定义!$D$3:$E$40,2,FALSE))</f>
        <v>31</v>
      </c>
      <c r="J40" s="106" t="s">
        <v>465</v>
      </c>
      <c r="K40" s="79">
        <v>0</v>
      </c>
      <c r="L40" s="79">
        <v>200</v>
      </c>
      <c r="M40" s="79">
        <v>-10</v>
      </c>
      <c r="N40" s="79">
        <v>300</v>
      </c>
      <c r="O40" s="79">
        <v>-70</v>
      </c>
      <c r="P40" s="79">
        <v>70</v>
      </c>
      <c r="Q40" s="79"/>
      <c r="R40" s="79"/>
      <c r="S40" s="79"/>
      <c r="T40" s="79"/>
      <c r="U40" s="80"/>
      <c r="V40" s="80"/>
    </row>
    <row r="41" spans="1:22" ht="18" customHeight="1">
      <c r="A41" s="64">
        <f>ROW()</f>
        <v>41</v>
      </c>
      <c r="B41" s="73">
        <v>40001</v>
      </c>
      <c r="C41" s="64" t="s">
        <v>590</v>
      </c>
      <c r="D41" s="82">
        <v>0.16</v>
      </c>
      <c r="E41" s="73">
        <v>1</v>
      </c>
      <c r="F41" s="73"/>
      <c r="G41" s="64"/>
      <c r="H41" s="85" t="s">
        <v>549</v>
      </c>
      <c r="I41" s="64">
        <f>IF(ISBLANK(J41),"",VLOOKUP(J41,定义!$D$3:$E$40,2,FALSE))</f>
        <v>1</v>
      </c>
      <c r="J41" s="106" t="s">
        <v>466</v>
      </c>
      <c r="K41" s="79">
        <v>300</v>
      </c>
      <c r="L41" s="79">
        <v>1</v>
      </c>
      <c r="M41" s="79"/>
      <c r="N41" s="79"/>
      <c r="O41" s="79"/>
      <c r="P41" s="79"/>
      <c r="Q41" s="79"/>
      <c r="R41" s="79"/>
      <c r="S41" s="79"/>
      <c r="T41" s="79"/>
      <c r="U41" s="80"/>
      <c r="V41" s="80"/>
    </row>
    <row r="42" spans="1:22" ht="18" customHeight="1">
      <c r="A42" s="64">
        <f>ROW()</f>
        <v>42</v>
      </c>
      <c r="B42" s="73">
        <v>40001</v>
      </c>
      <c r="C42" s="64" t="s">
        <v>590</v>
      </c>
      <c r="D42" s="82">
        <v>0.16</v>
      </c>
      <c r="E42" s="73">
        <v>1</v>
      </c>
      <c r="F42" s="73"/>
      <c r="G42" s="64"/>
      <c r="H42" s="85" t="s">
        <v>550</v>
      </c>
      <c r="I42" s="64">
        <f>IF(ISBLANK(J42),"",VLOOKUP(J42,定义!$D$3:$E$40,2,FALSE))</f>
        <v>9</v>
      </c>
      <c r="J42" s="106" t="s">
        <v>494</v>
      </c>
      <c r="K42" s="79">
        <v>10</v>
      </c>
      <c r="L42" s="79">
        <v>20</v>
      </c>
      <c r="M42" s="79">
        <v>0</v>
      </c>
      <c r="N42" s="79">
        <v>0.2</v>
      </c>
      <c r="O42" s="79">
        <v>160</v>
      </c>
      <c r="P42" s="79"/>
      <c r="Q42" s="79"/>
      <c r="R42" s="79"/>
      <c r="S42" s="79"/>
      <c r="T42" s="79"/>
      <c r="U42" s="80"/>
      <c r="V42" s="80"/>
    </row>
    <row r="43" spans="1:22" ht="18" customHeight="1">
      <c r="A43" s="64" t="s">
        <v>485</v>
      </c>
      <c r="B43" s="98">
        <v>40001</v>
      </c>
      <c r="C43" s="64" t="s">
        <v>590</v>
      </c>
      <c r="D43" s="82">
        <v>0.16</v>
      </c>
      <c r="E43" s="73">
        <v>1</v>
      </c>
      <c r="F43" s="73"/>
      <c r="G43" s="64"/>
      <c r="H43" s="85" t="s">
        <v>549</v>
      </c>
      <c r="I43" s="64">
        <f>IF(ISBLANK(J43),"",VLOOKUP(J43,定义!$D$3:$E$40,2,FALSE))</f>
        <v>2</v>
      </c>
      <c r="J43" s="106" t="s">
        <v>495</v>
      </c>
      <c r="K43" s="79">
        <v>0.05</v>
      </c>
      <c r="L43" s="79">
        <v>1</v>
      </c>
      <c r="M43" s="79"/>
      <c r="N43" s="79"/>
      <c r="O43" s="79"/>
      <c r="P43" s="79"/>
      <c r="Q43" s="79"/>
      <c r="R43" s="79"/>
      <c r="S43" s="79"/>
      <c r="T43" s="79"/>
      <c r="U43" s="80"/>
      <c r="V43" s="80"/>
    </row>
    <row r="44" spans="1:22" ht="18" customHeight="1">
      <c r="A44" s="64" t="s">
        <v>485</v>
      </c>
      <c r="B44" s="98">
        <v>40001</v>
      </c>
      <c r="C44" s="64" t="s">
        <v>590</v>
      </c>
      <c r="D44" s="82">
        <v>0.16</v>
      </c>
      <c r="E44" s="73">
        <v>1</v>
      </c>
      <c r="F44" s="73"/>
      <c r="G44" s="64"/>
      <c r="H44" s="85" t="s">
        <v>550</v>
      </c>
      <c r="I44" s="64">
        <f>IF(ISBLANK(J44),"",VLOOKUP(J44,定义!$D$3:$E$40,2,FALSE))</f>
        <v>6</v>
      </c>
      <c r="J44" s="106" t="s">
        <v>496</v>
      </c>
      <c r="K44" s="79">
        <v>0.1</v>
      </c>
      <c r="L44" s="79"/>
      <c r="M44" s="79"/>
      <c r="N44" s="79"/>
      <c r="O44" s="79"/>
      <c r="P44" s="79"/>
      <c r="Q44" s="79"/>
      <c r="R44" s="79"/>
      <c r="S44" s="79"/>
      <c r="T44" s="79"/>
      <c r="U44" s="80"/>
      <c r="V44" s="80"/>
    </row>
    <row r="45" spans="1:22" ht="18" customHeight="1">
      <c r="A45" s="64">
        <f>ROW()</f>
        <v>45</v>
      </c>
      <c r="B45" s="73">
        <v>40001</v>
      </c>
      <c r="C45" s="64" t="s">
        <v>590</v>
      </c>
      <c r="D45" s="82">
        <v>0.16</v>
      </c>
      <c r="E45" s="73">
        <v>1</v>
      </c>
      <c r="F45" s="73"/>
      <c r="G45" s="64"/>
      <c r="H45" s="85" t="s">
        <v>556</v>
      </c>
      <c r="I45" s="64">
        <f>IF(ISBLANK(J45),"",VLOOKUP(J45,定义!$D$3:$E$40,2,FALSE))</f>
        <v>7</v>
      </c>
      <c r="J45" s="106" t="s">
        <v>532</v>
      </c>
      <c r="K45" s="79">
        <v>50</v>
      </c>
      <c r="L45" s="79">
        <v>0</v>
      </c>
      <c r="M45" s="79">
        <v>0.1</v>
      </c>
      <c r="N45" s="79"/>
      <c r="O45" s="79"/>
      <c r="P45" s="79"/>
      <c r="Q45" s="79"/>
      <c r="R45" s="79"/>
      <c r="S45" s="79"/>
      <c r="T45" s="79"/>
      <c r="U45" s="80"/>
      <c r="V45" s="80"/>
    </row>
    <row r="46" spans="1:22" ht="18" customHeight="1">
      <c r="A46" s="64">
        <f>ROW()</f>
        <v>46</v>
      </c>
      <c r="B46" s="73">
        <v>40001</v>
      </c>
      <c r="C46" s="64" t="s">
        <v>590</v>
      </c>
      <c r="D46" s="82">
        <v>0.26</v>
      </c>
      <c r="E46" s="73">
        <v>0</v>
      </c>
      <c r="F46" s="73"/>
      <c r="G46" s="64"/>
      <c r="H46" s="85"/>
      <c r="I46" s="64">
        <f>IF(ISBLANK(J46),"",VLOOKUP(J46,定义!$D$3:$E$40,2,FALSE))</f>
        <v>11</v>
      </c>
      <c r="J46" s="106" t="s">
        <v>291</v>
      </c>
      <c r="K46" s="79">
        <v>40</v>
      </c>
      <c r="L46" s="79">
        <v>0</v>
      </c>
      <c r="M46" s="79">
        <v>0.1</v>
      </c>
      <c r="N46" s="79"/>
      <c r="O46" s="79"/>
      <c r="P46" s="79"/>
      <c r="Q46" s="79"/>
      <c r="R46" s="79"/>
      <c r="S46" s="79"/>
      <c r="T46" s="79"/>
      <c r="U46" s="80"/>
      <c r="V46" s="80"/>
    </row>
    <row r="47" spans="1:22" ht="18" customHeight="1">
      <c r="A47" s="64">
        <f>ROW()</f>
        <v>47</v>
      </c>
      <c r="B47" s="73">
        <v>40001</v>
      </c>
      <c r="C47" s="64" t="s">
        <v>590</v>
      </c>
      <c r="D47" s="82">
        <v>0.28999999999999998</v>
      </c>
      <c r="E47" s="73">
        <v>2</v>
      </c>
      <c r="F47" s="73"/>
      <c r="G47" s="64"/>
      <c r="H47" s="85" t="s">
        <v>473</v>
      </c>
      <c r="I47" s="64">
        <f>IF(ISBLANK(J47),"",VLOOKUP(J47,定义!$D$3:$E$40,2,FALSE))</f>
        <v>31</v>
      </c>
      <c r="J47" s="106" t="s">
        <v>465</v>
      </c>
      <c r="K47" s="79">
        <v>0</v>
      </c>
      <c r="L47" s="79">
        <v>200</v>
      </c>
      <c r="M47" s="79">
        <v>-10</v>
      </c>
      <c r="N47" s="79">
        <v>300</v>
      </c>
      <c r="O47" s="79">
        <v>-70</v>
      </c>
      <c r="P47" s="79">
        <v>70</v>
      </c>
      <c r="Q47" s="79"/>
      <c r="R47" s="79"/>
      <c r="S47" s="79"/>
      <c r="T47" s="79"/>
      <c r="U47" s="80"/>
      <c r="V47" s="80"/>
    </row>
    <row r="48" spans="1:22" ht="18" customHeight="1">
      <c r="A48" s="64">
        <f>ROW()</f>
        <v>48</v>
      </c>
      <c r="B48" s="73">
        <v>40001</v>
      </c>
      <c r="C48" s="64" t="s">
        <v>590</v>
      </c>
      <c r="D48" s="82">
        <v>0.28999999999999998</v>
      </c>
      <c r="E48" s="73">
        <v>2</v>
      </c>
      <c r="F48" s="73"/>
      <c r="G48" s="64"/>
      <c r="H48" s="85" t="s">
        <v>549</v>
      </c>
      <c r="I48" s="64">
        <f>IF(ISBLANK(J48),"",VLOOKUP(J48,定义!$D$3:$E$40,2,FALSE))</f>
        <v>1</v>
      </c>
      <c r="J48" s="106" t="s">
        <v>466</v>
      </c>
      <c r="K48" s="79">
        <v>300</v>
      </c>
      <c r="L48" s="79">
        <v>1</v>
      </c>
      <c r="M48" s="79"/>
      <c r="N48" s="79"/>
      <c r="O48" s="79"/>
      <c r="P48" s="79"/>
      <c r="Q48" s="79"/>
      <c r="R48" s="79"/>
      <c r="S48" s="79"/>
      <c r="T48" s="79"/>
      <c r="U48" s="80"/>
      <c r="V48" s="80"/>
    </row>
    <row r="49" spans="1:22" ht="18" customHeight="1">
      <c r="A49" s="64">
        <f>ROW()</f>
        <v>49</v>
      </c>
      <c r="B49" s="73">
        <v>40001</v>
      </c>
      <c r="C49" s="64" t="s">
        <v>590</v>
      </c>
      <c r="D49" s="82">
        <v>0.28999999999999998</v>
      </c>
      <c r="E49" s="73">
        <v>2</v>
      </c>
      <c r="F49" s="73"/>
      <c r="G49" s="64"/>
      <c r="H49" s="85" t="s">
        <v>550</v>
      </c>
      <c r="I49" s="64">
        <f>IF(ISBLANK(J49),"",VLOOKUP(J49,定义!$D$3:$E$40,2,FALSE))</f>
        <v>9</v>
      </c>
      <c r="J49" s="106" t="s">
        <v>494</v>
      </c>
      <c r="K49" s="79">
        <v>10</v>
      </c>
      <c r="L49" s="79">
        <v>20</v>
      </c>
      <c r="M49" s="79">
        <v>0</v>
      </c>
      <c r="N49" s="79">
        <v>0.2</v>
      </c>
      <c r="O49" s="79">
        <v>160</v>
      </c>
      <c r="P49" s="79"/>
      <c r="Q49" s="79"/>
      <c r="R49" s="79"/>
      <c r="S49" s="79"/>
      <c r="T49" s="79"/>
      <c r="U49" s="80"/>
      <c r="V49" s="80"/>
    </row>
    <row r="50" spans="1:22" ht="18" customHeight="1">
      <c r="A50" s="64" t="s">
        <v>485</v>
      </c>
      <c r="B50" s="98">
        <v>40001</v>
      </c>
      <c r="C50" s="64" t="s">
        <v>590</v>
      </c>
      <c r="D50" s="82">
        <v>0.28999999999999998</v>
      </c>
      <c r="E50" s="73">
        <v>2</v>
      </c>
      <c r="F50" s="73"/>
      <c r="G50" s="64"/>
      <c r="H50" s="85" t="s">
        <v>549</v>
      </c>
      <c r="I50" s="64">
        <f>IF(ISBLANK(J50),"",VLOOKUP(J50,定义!$D$3:$E$40,2,FALSE))</f>
        <v>2</v>
      </c>
      <c r="J50" s="106" t="s">
        <v>495</v>
      </c>
      <c r="K50" s="79">
        <v>0.05</v>
      </c>
      <c r="L50" s="79">
        <v>1</v>
      </c>
      <c r="M50" s="79"/>
      <c r="N50" s="79"/>
      <c r="O50" s="79"/>
      <c r="P50" s="79"/>
      <c r="Q50" s="79"/>
      <c r="R50" s="79"/>
      <c r="S50" s="79"/>
      <c r="T50" s="79"/>
      <c r="U50" s="80"/>
      <c r="V50" s="80"/>
    </row>
    <row r="51" spans="1:22" ht="18" customHeight="1">
      <c r="A51" s="64" t="s">
        <v>485</v>
      </c>
      <c r="B51" s="98">
        <v>40001</v>
      </c>
      <c r="C51" s="64" t="s">
        <v>590</v>
      </c>
      <c r="D51" s="82">
        <v>0.28999999999999998</v>
      </c>
      <c r="E51" s="73">
        <v>2</v>
      </c>
      <c r="F51" s="73"/>
      <c r="G51" s="64"/>
      <c r="H51" s="85" t="s">
        <v>550</v>
      </c>
      <c r="I51" s="64">
        <f>IF(ISBLANK(J51),"",VLOOKUP(J51,定义!$D$3:$E$40,2,FALSE))</f>
        <v>6</v>
      </c>
      <c r="J51" s="106" t="s">
        <v>496</v>
      </c>
      <c r="K51" s="79">
        <v>0.1</v>
      </c>
      <c r="L51" s="79"/>
      <c r="M51" s="79"/>
      <c r="N51" s="79"/>
      <c r="O51" s="79"/>
      <c r="P51" s="79"/>
      <c r="Q51" s="79"/>
      <c r="R51" s="79"/>
      <c r="S51" s="79"/>
      <c r="T51" s="79"/>
      <c r="U51" s="80"/>
      <c r="V51" s="81"/>
    </row>
    <row r="52" spans="1:22" ht="18" customHeight="1">
      <c r="A52" s="64">
        <f>ROW()</f>
        <v>52</v>
      </c>
      <c r="B52" s="73">
        <v>40001</v>
      </c>
      <c r="C52" s="64" t="s">
        <v>590</v>
      </c>
      <c r="D52" s="82">
        <v>0.28999999999999998</v>
      </c>
      <c r="E52" s="73">
        <v>2</v>
      </c>
      <c r="F52" s="73"/>
      <c r="G52" s="64"/>
      <c r="H52" s="85" t="s">
        <v>556</v>
      </c>
      <c r="I52" s="64">
        <f>IF(ISBLANK(J52),"",VLOOKUP(J52,定义!$D$3:$E$40,2,FALSE))</f>
        <v>7</v>
      </c>
      <c r="J52" s="106" t="s">
        <v>532</v>
      </c>
      <c r="K52" s="79">
        <v>50</v>
      </c>
      <c r="L52" s="79">
        <v>0</v>
      </c>
      <c r="M52" s="79">
        <v>0.1</v>
      </c>
      <c r="N52" s="79"/>
      <c r="O52" s="79"/>
      <c r="P52" s="79"/>
      <c r="Q52" s="79"/>
      <c r="R52" s="79"/>
      <c r="S52" s="79"/>
      <c r="T52" s="79"/>
      <c r="U52" s="80"/>
      <c r="V52" s="81"/>
    </row>
    <row r="53" spans="1:22" ht="18" customHeight="1">
      <c r="A53" s="64">
        <f>ROW()</f>
        <v>53</v>
      </c>
      <c r="B53" s="73">
        <v>40001</v>
      </c>
      <c r="C53" s="64" t="s">
        <v>590</v>
      </c>
      <c r="D53" s="82">
        <v>0.42</v>
      </c>
      <c r="E53" s="73">
        <v>1</v>
      </c>
      <c r="F53" s="73"/>
      <c r="G53" s="64"/>
      <c r="H53" s="85"/>
      <c r="I53" s="64">
        <f>IF(ISBLANK(J53),"",VLOOKUP(J53,定义!$D$3:$E$40,2,FALSE))</f>
        <v>18</v>
      </c>
      <c r="J53" s="106" t="s">
        <v>463</v>
      </c>
      <c r="K53" s="79">
        <v>1</v>
      </c>
      <c r="L53" s="79">
        <v>0</v>
      </c>
      <c r="M53" s="79">
        <v>2</v>
      </c>
      <c r="N53" s="79">
        <v>0</v>
      </c>
      <c r="O53" s="79"/>
      <c r="P53" s="79"/>
      <c r="Q53" s="79"/>
      <c r="R53" s="79"/>
      <c r="S53" s="79"/>
      <c r="T53" s="79"/>
      <c r="U53" s="80"/>
      <c r="V53" s="81"/>
    </row>
    <row r="54" spans="1:22" ht="18" customHeight="1">
      <c r="I54" s="64" t="str">
        <f>IF(ISBLANK(J54),"",VLOOKUP(J54,定义!$D$3:$E$40,2,FALSE))</f>
        <v/>
      </c>
    </row>
    <row r="55" spans="1:22" ht="22.5" customHeight="1">
      <c r="A55" s="64">
        <f>ROW()</f>
        <v>55</v>
      </c>
      <c r="B55" s="73">
        <v>50001</v>
      </c>
      <c r="C55" s="64" t="s">
        <v>591</v>
      </c>
      <c r="D55" s="82">
        <v>0.1</v>
      </c>
      <c r="E55" s="73">
        <v>1</v>
      </c>
      <c r="F55" s="73"/>
      <c r="G55" s="64"/>
      <c r="H55" s="85"/>
      <c r="I55" s="64">
        <f>IF(ISBLANK(J55),"",VLOOKUP(J55,定义!$D$3:$E$40,2,FALSE))</f>
        <v>11</v>
      </c>
      <c r="J55" s="106" t="s">
        <v>595</v>
      </c>
      <c r="K55" s="79">
        <v>50</v>
      </c>
      <c r="L55" s="79">
        <v>0</v>
      </c>
      <c r="M55" s="83">
        <v>0.05</v>
      </c>
      <c r="N55" s="79"/>
      <c r="O55" s="79"/>
      <c r="P55" s="79"/>
      <c r="Q55" s="79"/>
      <c r="R55" s="79"/>
      <c r="S55" s="79"/>
      <c r="T55" s="79"/>
      <c r="U55" s="80"/>
      <c r="V55" s="80"/>
    </row>
    <row r="56" spans="1:22" ht="22.5" customHeight="1">
      <c r="A56" s="64">
        <f>ROW()</f>
        <v>56</v>
      </c>
      <c r="B56" s="73">
        <v>50001</v>
      </c>
      <c r="C56" s="64" t="s">
        <v>591</v>
      </c>
      <c r="D56" s="82">
        <v>0.16</v>
      </c>
      <c r="E56" s="73">
        <v>1</v>
      </c>
      <c r="F56" s="73"/>
      <c r="G56" s="64"/>
      <c r="H56" s="85" t="s">
        <v>585</v>
      </c>
      <c r="I56" s="64">
        <f>IF(ISBLANK(J56),"",VLOOKUP(J56,定义!$D$3:$E$40,2,FALSE))</f>
        <v>31</v>
      </c>
      <c r="J56" s="106" t="s">
        <v>596</v>
      </c>
      <c r="K56" s="79">
        <v>-80</v>
      </c>
      <c r="L56" s="79">
        <v>250</v>
      </c>
      <c r="M56" s="83">
        <v>-10</v>
      </c>
      <c r="N56" s="79">
        <v>300</v>
      </c>
      <c r="O56" s="79">
        <v>-70</v>
      </c>
      <c r="P56" s="79">
        <v>70</v>
      </c>
      <c r="Q56" s="79"/>
      <c r="R56" s="79"/>
      <c r="S56" s="79"/>
      <c r="T56" s="79"/>
      <c r="U56" s="80"/>
      <c r="V56" s="80"/>
    </row>
    <row r="57" spans="1:22" ht="22.5" customHeight="1">
      <c r="A57" s="64">
        <f>ROW()</f>
        <v>57</v>
      </c>
      <c r="B57" s="73">
        <v>50001</v>
      </c>
      <c r="C57" s="64" t="s">
        <v>591</v>
      </c>
      <c r="D57" s="82">
        <v>0.16</v>
      </c>
      <c r="E57" s="73">
        <v>1</v>
      </c>
      <c r="F57" s="73"/>
      <c r="G57" s="64"/>
      <c r="H57" s="85" t="s">
        <v>586</v>
      </c>
      <c r="I57" s="64">
        <f>IF(ISBLANK(J57),"",VLOOKUP(J57,定义!$D$3:$E$40,2,FALSE))</f>
        <v>1</v>
      </c>
      <c r="J57" s="106" t="s">
        <v>466</v>
      </c>
      <c r="K57" s="79">
        <v>0</v>
      </c>
      <c r="L57" s="79">
        <v>1</v>
      </c>
      <c r="N57" s="79"/>
      <c r="O57" s="79"/>
      <c r="P57" s="79"/>
      <c r="Q57" s="79"/>
      <c r="R57" s="79"/>
      <c r="S57" s="79"/>
      <c r="T57" s="79"/>
      <c r="U57" s="80"/>
      <c r="V57" s="80"/>
    </row>
    <row r="58" spans="1:22" ht="18" customHeight="1">
      <c r="A58" s="64">
        <f>ROW()</f>
        <v>58</v>
      </c>
      <c r="B58" s="73">
        <v>50001</v>
      </c>
      <c r="C58" s="64" t="s">
        <v>591</v>
      </c>
      <c r="D58" s="82">
        <v>0.16</v>
      </c>
      <c r="E58" s="73">
        <v>1</v>
      </c>
      <c r="F58" s="73"/>
      <c r="G58" s="64"/>
      <c r="H58" s="85" t="s">
        <v>550</v>
      </c>
      <c r="I58" s="64">
        <f>IF(ISBLANK(J58),"",VLOOKUP(J58,定义!$D$3:$E$40,2,FALSE))</f>
        <v>8</v>
      </c>
      <c r="J58" s="106" t="s">
        <v>483</v>
      </c>
      <c r="K58" s="79">
        <v>50</v>
      </c>
      <c r="L58" s="79">
        <v>150</v>
      </c>
      <c r="M58" s="79">
        <v>0</v>
      </c>
      <c r="N58" s="79">
        <v>0.25</v>
      </c>
      <c r="O58" s="79">
        <v>200</v>
      </c>
      <c r="P58" s="79"/>
      <c r="Q58" s="79"/>
      <c r="R58" s="79"/>
      <c r="S58" s="79"/>
      <c r="T58" s="79"/>
      <c r="U58" s="80"/>
      <c r="V58" s="80"/>
    </row>
    <row r="59" spans="1:22" ht="18" customHeight="1">
      <c r="A59" s="64">
        <f>ROW()</f>
        <v>59</v>
      </c>
      <c r="B59" s="73">
        <v>50001</v>
      </c>
      <c r="C59" s="64" t="s">
        <v>591</v>
      </c>
      <c r="D59" s="82">
        <v>0.16</v>
      </c>
      <c r="E59" s="73">
        <v>1</v>
      </c>
      <c r="F59" s="73"/>
      <c r="G59" s="64"/>
      <c r="H59" s="85" t="s">
        <v>550</v>
      </c>
      <c r="I59" s="64">
        <f>IF(ISBLANK(J59),"",VLOOKUP(J59,定义!$D$3:$E$40,2,FALSE))</f>
        <v>9</v>
      </c>
      <c r="J59" s="106" t="s">
        <v>494</v>
      </c>
      <c r="K59" s="79">
        <v>20</v>
      </c>
      <c r="L59" s="79">
        <v>50</v>
      </c>
      <c r="M59" s="79">
        <v>0</v>
      </c>
      <c r="N59" s="79">
        <v>0.2</v>
      </c>
      <c r="O59" s="79">
        <v>200</v>
      </c>
      <c r="P59" s="79"/>
      <c r="Q59" s="79"/>
      <c r="R59" s="79"/>
      <c r="S59" s="79"/>
      <c r="T59" s="79"/>
      <c r="U59" s="80"/>
      <c r="V59" s="80"/>
    </row>
    <row r="60" spans="1:22" ht="22.5" customHeight="1">
      <c r="A60" s="64">
        <f>ROW()</f>
        <v>60</v>
      </c>
      <c r="B60" s="73">
        <v>50001</v>
      </c>
      <c r="C60" s="64" t="s">
        <v>591</v>
      </c>
      <c r="D60" s="82">
        <v>0.48</v>
      </c>
      <c r="E60" s="73">
        <v>2</v>
      </c>
      <c r="F60" s="73"/>
      <c r="G60" s="64"/>
      <c r="H60" s="85" t="s">
        <v>473</v>
      </c>
      <c r="I60" s="64">
        <f>IF(ISBLANK(J60),"",VLOOKUP(J60,定义!$D$3:$E$40,2,FALSE))</f>
        <v>31</v>
      </c>
      <c r="J60" s="106" t="s">
        <v>465</v>
      </c>
      <c r="K60" s="79">
        <v>-80</v>
      </c>
      <c r="L60" s="79">
        <v>250</v>
      </c>
      <c r="M60" s="83">
        <v>-10</v>
      </c>
      <c r="N60" s="79">
        <v>300</v>
      </c>
      <c r="O60" s="79">
        <v>-70</v>
      </c>
      <c r="P60" s="79">
        <v>70</v>
      </c>
      <c r="Q60" s="79"/>
      <c r="R60" s="79"/>
      <c r="S60" s="79"/>
      <c r="T60" s="79"/>
      <c r="U60" s="80"/>
      <c r="V60" s="80"/>
    </row>
    <row r="61" spans="1:22" ht="22.5" customHeight="1">
      <c r="A61" s="64">
        <f>ROW()</f>
        <v>61</v>
      </c>
      <c r="B61" s="73">
        <v>50001</v>
      </c>
      <c r="C61" s="64" t="s">
        <v>591</v>
      </c>
      <c r="D61" s="82">
        <v>0.48</v>
      </c>
      <c r="E61" s="73">
        <v>2</v>
      </c>
      <c r="F61" s="73"/>
      <c r="G61" s="64"/>
      <c r="H61" s="85" t="s">
        <v>549</v>
      </c>
      <c r="I61" s="64">
        <f>IF(ISBLANK(J61),"",VLOOKUP(J61,定义!$D$3:$E$40,2,FALSE))</f>
        <v>1</v>
      </c>
      <c r="J61" s="106" t="s">
        <v>466</v>
      </c>
      <c r="K61" s="79">
        <v>100</v>
      </c>
      <c r="L61" s="79">
        <v>1</v>
      </c>
      <c r="N61" s="79"/>
      <c r="O61" s="79"/>
      <c r="P61" s="79"/>
      <c r="Q61" s="79"/>
      <c r="R61" s="79"/>
      <c r="S61" s="79"/>
      <c r="T61" s="79"/>
      <c r="U61" s="80"/>
      <c r="V61" s="80"/>
    </row>
    <row r="62" spans="1:22" ht="18" customHeight="1">
      <c r="A62" s="64">
        <f>ROW()</f>
        <v>62</v>
      </c>
      <c r="B62" s="73">
        <v>50001</v>
      </c>
      <c r="C62" s="64" t="s">
        <v>591</v>
      </c>
      <c r="D62" s="82">
        <v>0.48</v>
      </c>
      <c r="E62" s="73">
        <v>2</v>
      </c>
      <c r="F62" s="73"/>
      <c r="G62" s="64"/>
      <c r="H62" s="85" t="s">
        <v>550</v>
      </c>
      <c r="I62" s="64">
        <f>IF(ISBLANK(J62),"",VLOOKUP(J62,定义!$D$3:$E$40,2,FALSE))</f>
        <v>9</v>
      </c>
      <c r="J62" s="106" t="s">
        <v>494</v>
      </c>
      <c r="K62" s="79">
        <v>5</v>
      </c>
      <c r="L62" s="79">
        <v>10</v>
      </c>
      <c r="M62" s="79">
        <v>0</v>
      </c>
      <c r="N62" s="79">
        <v>0.2</v>
      </c>
      <c r="O62" s="79">
        <v>200</v>
      </c>
      <c r="P62" s="79"/>
      <c r="Q62" s="79"/>
      <c r="R62" s="79"/>
      <c r="S62" s="79"/>
      <c r="T62" s="79"/>
      <c r="U62" s="80"/>
      <c r="V62" s="80"/>
    </row>
    <row r="63" spans="1:22" ht="22.5" customHeight="1">
      <c r="A63" s="64">
        <f>ROW()</f>
        <v>63</v>
      </c>
      <c r="B63" s="73">
        <v>50001</v>
      </c>
      <c r="C63" s="64" t="s">
        <v>591</v>
      </c>
      <c r="D63" s="82">
        <v>0.74</v>
      </c>
      <c r="E63" s="73">
        <v>3</v>
      </c>
      <c r="F63" s="73"/>
      <c r="G63" s="64"/>
      <c r="H63" s="85" t="s">
        <v>585</v>
      </c>
      <c r="I63" s="64">
        <f>IF(ISBLANK(J63),"",VLOOKUP(J63,定义!$D$3:$E$40,2,FALSE))</f>
        <v>31</v>
      </c>
      <c r="J63" s="106" t="s">
        <v>465</v>
      </c>
      <c r="K63" s="79">
        <v>-80</v>
      </c>
      <c r="L63" s="79">
        <v>250</v>
      </c>
      <c r="M63" s="83">
        <v>-10</v>
      </c>
      <c r="N63" s="79">
        <v>300</v>
      </c>
      <c r="O63" s="79">
        <v>-70</v>
      </c>
      <c r="P63" s="79">
        <v>70</v>
      </c>
      <c r="Q63" s="79"/>
      <c r="R63" s="79"/>
      <c r="S63" s="79"/>
      <c r="T63" s="79"/>
      <c r="U63" s="80"/>
      <c r="V63" s="80"/>
    </row>
    <row r="64" spans="1:22" ht="22.5" customHeight="1">
      <c r="A64" s="64">
        <f>ROW()</f>
        <v>64</v>
      </c>
      <c r="B64" s="73">
        <v>50001</v>
      </c>
      <c r="C64" s="64" t="s">
        <v>591</v>
      </c>
      <c r="D64" s="82">
        <v>0.74</v>
      </c>
      <c r="E64" s="73">
        <v>3</v>
      </c>
      <c r="F64" s="73"/>
      <c r="G64" s="64"/>
      <c r="H64" s="85" t="s">
        <v>586</v>
      </c>
      <c r="I64" s="64">
        <f>IF(ISBLANK(J64),"",VLOOKUP(J64,定义!$D$3:$E$40,2,FALSE))</f>
        <v>1</v>
      </c>
      <c r="J64" s="106" t="s">
        <v>466</v>
      </c>
      <c r="K64" s="79">
        <v>100</v>
      </c>
      <c r="L64" s="79">
        <v>1</v>
      </c>
      <c r="N64" s="79"/>
      <c r="O64" s="79"/>
      <c r="P64" s="79"/>
      <c r="Q64" s="79"/>
      <c r="R64" s="79"/>
      <c r="S64" s="79"/>
      <c r="T64" s="79"/>
      <c r="U64" s="80"/>
      <c r="V64" s="80"/>
    </row>
    <row r="65" spans="1:22" ht="18" customHeight="1">
      <c r="A65" s="64">
        <f>ROW()</f>
        <v>65</v>
      </c>
      <c r="B65" s="73">
        <v>50001</v>
      </c>
      <c r="C65" s="64" t="s">
        <v>591</v>
      </c>
      <c r="D65" s="82">
        <v>0.74</v>
      </c>
      <c r="E65" s="73">
        <v>3</v>
      </c>
      <c r="F65" s="73"/>
      <c r="G65" s="64"/>
      <c r="H65" s="85" t="s">
        <v>550</v>
      </c>
      <c r="I65" s="64">
        <f>IF(ISBLANK(J65),"",VLOOKUP(J65,定义!$D$3:$E$40,2,FALSE))</f>
        <v>9</v>
      </c>
      <c r="J65" s="106" t="s">
        <v>494</v>
      </c>
      <c r="K65" s="79">
        <v>5</v>
      </c>
      <c r="L65" s="79">
        <v>10</v>
      </c>
      <c r="M65" s="79">
        <v>0</v>
      </c>
      <c r="N65" s="79">
        <v>0.2</v>
      </c>
      <c r="O65" s="79">
        <v>200</v>
      </c>
      <c r="P65" s="79"/>
      <c r="Q65" s="79"/>
      <c r="R65" s="79"/>
      <c r="S65" s="79"/>
      <c r="T65" s="79"/>
      <c r="U65" s="80"/>
      <c r="V65" s="80"/>
    </row>
    <row r="66" spans="1:22" ht="22.5" customHeight="1">
      <c r="A66" s="64">
        <f>ROW()</f>
        <v>66</v>
      </c>
      <c r="B66" s="73">
        <v>50001</v>
      </c>
      <c r="C66" s="64" t="s">
        <v>591</v>
      </c>
      <c r="D66" s="82">
        <v>1.1000000000000001</v>
      </c>
      <c r="E66" s="73">
        <v>4</v>
      </c>
      <c r="F66" s="73"/>
      <c r="G66" s="64"/>
      <c r="H66" s="85" t="s">
        <v>585</v>
      </c>
      <c r="I66" s="64">
        <f>IF(ISBLANK(J66),"",VLOOKUP(J66,定义!$D$3:$E$40,2,FALSE))</f>
        <v>31</v>
      </c>
      <c r="J66" s="106" t="s">
        <v>465</v>
      </c>
      <c r="K66" s="79">
        <v>-80</v>
      </c>
      <c r="L66" s="79">
        <v>250</v>
      </c>
      <c r="M66" s="83">
        <v>-10</v>
      </c>
      <c r="N66" s="79">
        <v>300</v>
      </c>
      <c r="O66" s="79">
        <v>-70</v>
      </c>
      <c r="P66" s="79">
        <v>70</v>
      </c>
      <c r="Q66" s="79"/>
      <c r="R66" s="79"/>
      <c r="S66" s="79"/>
      <c r="T66" s="79"/>
      <c r="U66" s="80"/>
      <c r="V66" s="80"/>
    </row>
    <row r="67" spans="1:22" ht="22.5" customHeight="1">
      <c r="A67" s="64">
        <f>ROW()</f>
        <v>67</v>
      </c>
      <c r="B67" s="73">
        <v>50001</v>
      </c>
      <c r="C67" s="64" t="s">
        <v>591</v>
      </c>
      <c r="D67" s="82">
        <v>1.1000000000000001</v>
      </c>
      <c r="E67" s="73">
        <v>4</v>
      </c>
      <c r="F67" s="73"/>
      <c r="G67" s="64"/>
      <c r="H67" s="85" t="s">
        <v>586</v>
      </c>
      <c r="I67" s="64">
        <f>IF(ISBLANK(J67),"",VLOOKUP(J67,定义!$D$3:$E$40,2,FALSE))</f>
        <v>1</v>
      </c>
      <c r="J67" s="106" t="s">
        <v>466</v>
      </c>
      <c r="K67" s="79">
        <v>100</v>
      </c>
      <c r="L67" s="79">
        <v>1</v>
      </c>
      <c r="N67" s="79"/>
      <c r="O67" s="79"/>
      <c r="P67" s="79"/>
      <c r="Q67" s="79"/>
      <c r="R67" s="79"/>
      <c r="S67" s="79"/>
      <c r="T67" s="79"/>
      <c r="U67" s="80"/>
      <c r="V67" s="80"/>
    </row>
    <row r="68" spans="1:22" ht="18" customHeight="1">
      <c r="A68" s="64">
        <f>ROW()</f>
        <v>68</v>
      </c>
      <c r="B68" s="73">
        <v>50001</v>
      </c>
      <c r="C68" s="64" t="s">
        <v>591</v>
      </c>
      <c r="D68" s="82">
        <v>1.1000000000000001</v>
      </c>
      <c r="E68" s="73">
        <v>4</v>
      </c>
      <c r="F68" s="73"/>
      <c r="G68" s="64"/>
      <c r="H68" s="85" t="s">
        <v>550</v>
      </c>
      <c r="I68" s="64">
        <f>IF(ISBLANK(J68),"",VLOOKUP(J68,定义!$D$3:$E$40,2,FALSE))</f>
        <v>9</v>
      </c>
      <c r="J68" s="106" t="s">
        <v>494</v>
      </c>
      <c r="K68" s="79">
        <v>5</v>
      </c>
      <c r="L68" s="79">
        <v>80</v>
      </c>
      <c r="M68" s="79">
        <v>0</v>
      </c>
      <c r="N68" s="79">
        <v>0.1</v>
      </c>
      <c r="O68" s="79">
        <v>200</v>
      </c>
      <c r="P68" s="79"/>
      <c r="Q68" s="79"/>
      <c r="R68" s="79"/>
      <c r="S68" s="79"/>
      <c r="T68" s="79"/>
      <c r="U68" s="80"/>
      <c r="V68" s="81"/>
    </row>
    <row r="69" spans="1:22" ht="18" customHeight="1">
      <c r="A69" s="64">
        <f>ROW()</f>
        <v>69</v>
      </c>
      <c r="B69" s="73">
        <v>50001</v>
      </c>
      <c r="C69" s="64" t="s">
        <v>591</v>
      </c>
      <c r="D69" s="82">
        <v>1.33</v>
      </c>
      <c r="E69" s="73"/>
      <c r="F69" s="73"/>
      <c r="G69" s="64"/>
      <c r="H69" s="85"/>
      <c r="I69" s="64">
        <f>IF(ISBLANK(J69),"",VLOOKUP(J69,定义!$D$3:$E$40,2,FALSE))</f>
        <v>18</v>
      </c>
      <c r="J69" s="106" t="s">
        <v>463</v>
      </c>
      <c r="K69" s="79">
        <v>1</v>
      </c>
      <c r="L69" s="79">
        <v>0</v>
      </c>
      <c r="M69" s="79">
        <v>1</v>
      </c>
      <c r="N69" s="79"/>
      <c r="O69" s="79"/>
      <c r="P69" s="79"/>
      <c r="Q69" s="79"/>
      <c r="R69" s="79"/>
      <c r="S69" s="79"/>
      <c r="T69" s="79"/>
      <c r="U69" s="80"/>
      <c r="V69" s="81"/>
    </row>
    <row r="70" spans="1:22" ht="18" customHeight="1">
      <c r="I70" s="64" t="str">
        <f>IF(ISBLANK(J70),"",VLOOKUP(J70,定义!$D$3:$E$40,2,FALSE))</f>
        <v/>
      </c>
    </row>
    <row r="71" spans="1:22" ht="22.5" customHeight="1">
      <c r="A71" s="64">
        <f>ROW()</f>
        <v>71</v>
      </c>
      <c r="B71" s="73">
        <v>60001</v>
      </c>
      <c r="C71" s="64" t="s">
        <v>592</v>
      </c>
      <c r="D71" s="82">
        <v>0.15</v>
      </c>
      <c r="E71" s="73">
        <v>1</v>
      </c>
      <c r="F71" s="73"/>
      <c r="G71" s="64"/>
      <c r="H71" s="85" t="s">
        <v>585</v>
      </c>
      <c r="I71" s="64">
        <f>IF(ISBLANK(J71),"",VLOOKUP(J71,定义!$D$3:$E$40,2,FALSE))</f>
        <v>31</v>
      </c>
      <c r="J71" s="106" t="s">
        <v>465</v>
      </c>
      <c r="K71" s="79">
        <v>-250</v>
      </c>
      <c r="L71" s="79">
        <v>250</v>
      </c>
      <c r="M71" s="83">
        <v>-10</v>
      </c>
      <c r="N71" s="79">
        <v>300</v>
      </c>
      <c r="O71" s="79">
        <v>-70</v>
      </c>
      <c r="P71" s="79">
        <v>70</v>
      </c>
      <c r="Q71" s="79"/>
      <c r="R71" s="79"/>
      <c r="S71" s="79"/>
      <c r="T71" s="79"/>
      <c r="U71" s="80">
        <v>5</v>
      </c>
      <c r="V71" s="81">
        <v>0.2</v>
      </c>
    </row>
    <row r="72" spans="1:22" ht="22.5" customHeight="1">
      <c r="A72" s="64">
        <f>ROW()</f>
        <v>72</v>
      </c>
      <c r="B72" s="73">
        <v>60001</v>
      </c>
      <c r="C72" s="64" t="s">
        <v>592</v>
      </c>
      <c r="D72" s="82">
        <v>0.15</v>
      </c>
      <c r="E72" s="73">
        <v>1</v>
      </c>
      <c r="F72" s="73"/>
      <c r="G72" s="64"/>
      <c r="H72" s="85" t="s">
        <v>586</v>
      </c>
      <c r="I72" s="64">
        <f>IF(ISBLANK(J72),"",VLOOKUP(J72,定义!$D$3:$E$40,2,FALSE))</f>
        <v>1</v>
      </c>
      <c r="J72" s="106" t="s">
        <v>466</v>
      </c>
      <c r="K72" s="79">
        <v>100</v>
      </c>
      <c r="L72" s="79">
        <v>1</v>
      </c>
      <c r="N72" s="79"/>
      <c r="O72" s="79"/>
      <c r="P72" s="79"/>
      <c r="Q72" s="79"/>
      <c r="R72" s="79"/>
      <c r="S72" s="79"/>
      <c r="T72" s="79"/>
      <c r="U72" s="80">
        <v>5</v>
      </c>
      <c r="V72" s="81">
        <v>0.2</v>
      </c>
    </row>
    <row r="73" spans="1:22" ht="18" customHeight="1">
      <c r="A73" s="64">
        <f>ROW()</f>
        <v>73</v>
      </c>
      <c r="B73" s="73">
        <v>60001</v>
      </c>
      <c r="C73" s="64" t="s">
        <v>592</v>
      </c>
      <c r="D73" s="82">
        <v>0.15</v>
      </c>
      <c r="E73" s="73">
        <v>1</v>
      </c>
      <c r="F73" s="73"/>
      <c r="G73" s="64"/>
      <c r="H73" s="85" t="s">
        <v>550</v>
      </c>
      <c r="I73" s="64">
        <f>IF(ISBLANK(J73),"",VLOOKUP(J73,定义!$D$3:$E$40,2,FALSE))</f>
        <v>8</v>
      </c>
      <c r="J73" s="106" t="s">
        <v>483</v>
      </c>
      <c r="K73" s="79">
        <v>0</v>
      </c>
      <c r="L73" s="79">
        <v>150</v>
      </c>
      <c r="M73" s="79">
        <v>0</v>
      </c>
      <c r="N73" s="79">
        <v>0.25</v>
      </c>
      <c r="O73" s="79">
        <v>220</v>
      </c>
      <c r="P73" s="79"/>
      <c r="Q73" s="79"/>
      <c r="R73" s="79"/>
      <c r="S73" s="79"/>
      <c r="T73" s="79"/>
      <c r="U73" s="80">
        <v>5</v>
      </c>
      <c r="V73" s="81">
        <v>0.2</v>
      </c>
    </row>
    <row r="74" spans="1:22" ht="18" customHeight="1">
      <c r="A74" s="64">
        <f>ROW()</f>
        <v>74</v>
      </c>
      <c r="B74" s="73">
        <v>60001</v>
      </c>
      <c r="C74" s="64" t="s">
        <v>592</v>
      </c>
      <c r="D74" s="82">
        <v>0.15</v>
      </c>
      <c r="E74" s="73">
        <v>1</v>
      </c>
      <c r="F74" s="73"/>
      <c r="G74" s="64"/>
      <c r="H74" s="85" t="s">
        <v>550</v>
      </c>
      <c r="I74" s="64">
        <f>IF(ISBLANK(J74),"",VLOOKUP(J74,定义!$D$3:$E$40,2,FALSE))</f>
        <v>9</v>
      </c>
      <c r="J74" s="106" t="s">
        <v>494</v>
      </c>
      <c r="K74" s="79">
        <v>0</v>
      </c>
      <c r="L74" s="79">
        <v>10</v>
      </c>
      <c r="M74" s="79">
        <v>0</v>
      </c>
      <c r="N74" s="79">
        <v>0.2</v>
      </c>
      <c r="O74" s="79">
        <v>220</v>
      </c>
      <c r="P74" s="79"/>
      <c r="Q74" s="79"/>
      <c r="R74" s="79"/>
      <c r="S74" s="79"/>
      <c r="T74" s="79"/>
      <c r="U74" s="80">
        <v>5</v>
      </c>
      <c r="V74" s="81">
        <v>0.2</v>
      </c>
    </row>
    <row r="75" spans="1:22" ht="22.5" customHeight="1">
      <c r="A75" s="64">
        <f>ROW()</f>
        <v>75</v>
      </c>
      <c r="B75" s="73">
        <v>60001</v>
      </c>
      <c r="C75" s="64" t="s">
        <v>592</v>
      </c>
      <c r="D75" s="82">
        <v>0.35</v>
      </c>
      <c r="E75" s="73">
        <v>2</v>
      </c>
      <c r="F75" s="73"/>
      <c r="G75" s="64"/>
      <c r="H75" s="85" t="s">
        <v>473</v>
      </c>
      <c r="I75" s="64">
        <f>IF(ISBLANK(J75),"",VLOOKUP(J75,定义!$D$3:$E$40,2,FALSE))</f>
        <v>31</v>
      </c>
      <c r="J75" s="106" t="s">
        <v>465</v>
      </c>
      <c r="K75" s="79">
        <v>-250</v>
      </c>
      <c r="L75" s="79">
        <v>250</v>
      </c>
      <c r="M75" s="83">
        <v>-10</v>
      </c>
      <c r="N75" s="79">
        <v>300</v>
      </c>
      <c r="O75" s="79">
        <v>-70</v>
      </c>
      <c r="P75" s="79">
        <v>70</v>
      </c>
      <c r="Q75" s="79"/>
      <c r="R75" s="79"/>
      <c r="S75" s="79"/>
      <c r="T75" s="79"/>
      <c r="U75" s="80"/>
      <c r="V75" s="81"/>
    </row>
    <row r="76" spans="1:22" ht="22.5" customHeight="1">
      <c r="A76" s="64">
        <f>ROW()</f>
        <v>76</v>
      </c>
      <c r="B76" s="73">
        <v>60001</v>
      </c>
      <c r="C76" s="64" t="s">
        <v>592</v>
      </c>
      <c r="D76" s="82">
        <v>0.35</v>
      </c>
      <c r="E76" s="73">
        <v>2</v>
      </c>
      <c r="F76" s="73"/>
      <c r="G76" s="64"/>
      <c r="H76" s="85" t="s">
        <v>549</v>
      </c>
      <c r="I76" s="64">
        <f>IF(ISBLANK(J76),"",VLOOKUP(J76,定义!$D$3:$E$40,2,FALSE))</f>
        <v>1</v>
      </c>
      <c r="J76" s="106" t="s">
        <v>466</v>
      </c>
      <c r="K76" s="79">
        <v>100</v>
      </c>
      <c r="L76" s="79">
        <v>1</v>
      </c>
      <c r="N76" s="79"/>
      <c r="O76" s="79"/>
      <c r="P76" s="79"/>
      <c r="Q76" s="79"/>
      <c r="R76" s="79"/>
      <c r="S76" s="79"/>
      <c r="T76" s="79"/>
      <c r="U76" s="80"/>
      <c r="V76" s="81"/>
    </row>
    <row r="77" spans="1:22" ht="18" customHeight="1">
      <c r="A77" s="64">
        <f>ROW()</f>
        <v>77</v>
      </c>
      <c r="B77" s="73">
        <v>60001</v>
      </c>
      <c r="C77" s="64" t="s">
        <v>592</v>
      </c>
      <c r="D77" s="82">
        <v>0.35</v>
      </c>
      <c r="E77" s="73">
        <v>2</v>
      </c>
      <c r="F77" s="73"/>
      <c r="G77" s="64"/>
      <c r="H77" s="85" t="s">
        <v>550</v>
      </c>
      <c r="I77" s="64">
        <f>IF(ISBLANK(J77),"",VLOOKUP(J77,定义!$D$3:$E$40,2,FALSE))</f>
        <v>8</v>
      </c>
      <c r="J77" s="106" t="s">
        <v>483</v>
      </c>
      <c r="K77" s="79">
        <v>0</v>
      </c>
      <c r="L77" s="79">
        <v>150</v>
      </c>
      <c r="M77" s="79">
        <v>0</v>
      </c>
      <c r="N77" s="79">
        <v>0.25</v>
      </c>
      <c r="O77" s="79">
        <v>220</v>
      </c>
      <c r="P77" s="79"/>
      <c r="Q77" s="79"/>
      <c r="R77" s="79"/>
      <c r="S77" s="79"/>
      <c r="T77" s="79"/>
      <c r="U77" s="80"/>
      <c r="V77" s="81"/>
    </row>
    <row r="78" spans="1:22" ht="18" customHeight="1">
      <c r="A78" s="64">
        <f>ROW()</f>
        <v>78</v>
      </c>
      <c r="B78" s="73">
        <v>60001</v>
      </c>
      <c r="C78" s="64" t="s">
        <v>592</v>
      </c>
      <c r="D78" s="82">
        <v>0.35</v>
      </c>
      <c r="E78" s="73">
        <v>2</v>
      </c>
      <c r="F78" s="73"/>
      <c r="G78" s="64"/>
      <c r="H78" s="85" t="s">
        <v>550</v>
      </c>
      <c r="I78" s="64">
        <f>IF(ISBLANK(J78),"",VLOOKUP(J78,定义!$D$3:$E$40,2,FALSE))</f>
        <v>9</v>
      </c>
      <c r="J78" s="106" t="s">
        <v>494</v>
      </c>
      <c r="K78" s="79">
        <v>0</v>
      </c>
      <c r="L78" s="79">
        <v>10</v>
      </c>
      <c r="M78" s="79">
        <v>0</v>
      </c>
      <c r="N78" s="79">
        <v>0.2</v>
      </c>
      <c r="O78" s="79">
        <v>220</v>
      </c>
      <c r="P78" s="79"/>
      <c r="Q78" s="79"/>
      <c r="R78" s="79"/>
      <c r="S78" s="79"/>
      <c r="T78" s="79"/>
      <c r="U78" s="80"/>
      <c r="V78" s="81"/>
    </row>
    <row r="79" spans="1:22" ht="22.5" customHeight="1">
      <c r="A79" s="64">
        <f>ROW()</f>
        <v>79</v>
      </c>
      <c r="B79" s="73">
        <v>60001</v>
      </c>
      <c r="C79" s="64" t="s">
        <v>592</v>
      </c>
      <c r="D79" s="82">
        <v>0.55000000000000004</v>
      </c>
      <c r="E79" s="73">
        <v>3</v>
      </c>
      <c r="F79" s="73"/>
      <c r="G79" s="64"/>
      <c r="H79" s="85" t="s">
        <v>473</v>
      </c>
      <c r="I79" s="64">
        <f>IF(ISBLANK(J79),"",VLOOKUP(J79,定义!$D$3:$E$40,2,FALSE))</f>
        <v>31</v>
      </c>
      <c r="J79" s="106" t="s">
        <v>465</v>
      </c>
      <c r="K79" s="79">
        <v>-250</v>
      </c>
      <c r="L79" s="79">
        <v>250</v>
      </c>
      <c r="M79" s="83">
        <v>-10</v>
      </c>
      <c r="N79" s="79">
        <v>300</v>
      </c>
      <c r="O79" s="79">
        <v>-70</v>
      </c>
      <c r="P79" s="79">
        <v>70</v>
      </c>
      <c r="Q79" s="79"/>
      <c r="R79" s="79"/>
      <c r="S79" s="79"/>
      <c r="T79" s="79"/>
      <c r="U79" s="80"/>
      <c r="V79" s="81"/>
    </row>
    <row r="80" spans="1:22" ht="22.5" customHeight="1">
      <c r="A80" s="64">
        <f>ROW()</f>
        <v>80</v>
      </c>
      <c r="B80" s="73">
        <v>60001</v>
      </c>
      <c r="C80" s="64" t="s">
        <v>592</v>
      </c>
      <c r="D80" s="82">
        <v>0.55000000000000004</v>
      </c>
      <c r="E80" s="73">
        <v>3</v>
      </c>
      <c r="F80" s="73"/>
      <c r="G80" s="64"/>
      <c r="H80" s="85" t="s">
        <v>549</v>
      </c>
      <c r="I80" s="64">
        <f>IF(ISBLANK(J80),"",VLOOKUP(J80,定义!$D$3:$E$40,2,FALSE))</f>
        <v>1</v>
      </c>
      <c r="J80" s="106" t="s">
        <v>466</v>
      </c>
      <c r="K80" s="79">
        <v>100</v>
      </c>
      <c r="L80" s="79">
        <v>1</v>
      </c>
      <c r="N80" s="79"/>
      <c r="O80" s="79"/>
      <c r="P80" s="79"/>
      <c r="Q80" s="79"/>
      <c r="R80" s="79"/>
      <c r="S80" s="79"/>
      <c r="T80" s="79"/>
      <c r="U80" s="80"/>
      <c r="V80" s="81"/>
    </row>
    <row r="81" spans="1:22" ht="18" customHeight="1">
      <c r="A81" s="64">
        <f>ROW()</f>
        <v>81</v>
      </c>
      <c r="B81" s="73">
        <v>60001</v>
      </c>
      <c r="C81" s="64" t="s">
        <v>592</v>
      </c>
      <c r="D81" s="82">
        <v>0.55000000000000004</v>
      </c>
      <c r="E81" s="73">
        <v>3</v>
      </c>
      <c r="F81" s="73"/>
      <c r="G81" s="64"/>
      <c r="H81" s="85" t="s">
        <v>550</v>
      </c>
      <c r="I81" s="64">
        <f>IF(ISBLANK(J81),"",VLOOKUP(J81,定义!$D$3:$E$40,2,FALSE))</f>
        <v>8</v>
      </c>
      <c r="J81" s="106" t="s">
        <v>483</v>
      </c>
      <c r="K81" s="79">
        <v>0</v>
      </c>
      <c r="L81" s="79">
        <v>150</v>
      </c>
      <c r="M81" s="79">
        <v>0</v>
      </c>
      <c r="N81" s="79">
        <v>0.25</v>
      </c>
      <c r="O81" s="79">
        <v>220</v>
      </c>
      <c r="P81" s="79"/>
      <c r="Q81" s="79"/>
      <c r="R81" s="79"/>
      <c r="S81" s="79"/>
      <c r="T81" s="79"/>
      <c r="U81" s="80"/>
      <c r="V81" s="81"/>
    </row>
    <row r="82" spans="1:22" ht="18" customHeight="1">
      <c r="A82" s="64">
        <f>ROW()</f>
        <v>82</v>
      </c>
      <c r="B82" s="73">
        <v>60001</v>
      </c>
      <c r="C82" s="64" t="s">
        <v>592</v>
      </c>
      <c r="D82" s="82">
        <v>0.55000000000000004</v>
      </c>
      <c r="E82" s="73">
        <v>3</v>
      </c>
      <c r="F82" s="73"/>
      <c r="G82" s="64"/>
      <c r="H82" s="85" t="s">
        <v>550</v>
      </c>
      <c r="I82" s="64">
        <f>IF(ISBLANK(J82),"",VLOOKUP(J82,定义!$D$3:$E$40,2,FALSE))</f>
        <v>9</v>
      </c>
      <c r="J82" s="106" t="s">
        <v>494</v>
      </c>
      <c r="K82" s="79">
        <v>0</v>
      </c>
      <c r="L82" s="79">
        <v>10</v>
      </c>
      <c r="M82" s="79">
        <v>0</v>
      </c>
      <c r="N82" s="79">
        <v>0.2</v>
      </c>
      <c r="O82" s="79">
        <v>220</v>
      </c>
      <c r="P82" s="79"/>
      <c r="Q82" s="79"/>
      <c r="R82" s="79"/>
      <c r="S82" s="79"/>
      <c r="T82" s="79"/>
      <c r="U82" s="80"/>
      <c r="V82" s="81"/>
    </row>
    <row r="83" spans="1:22" ht="22.5" customHeight="1">
      <c r="A83" s="64">
        <f>ROW()</f>
        <v>83</v>
      </c>
      <c r="B83" s="73">
        <v>60001</v>
      </c>
      <c r="C83" s="64" t="s">
        <v>592</v>
      </c>
      <c r="D83" s="82">
        <v>0.75</v>
      </c>
      <c r="E83" s="73">
        <v>4</v>
      </c>
      <c r="F83" s="73"/>
      <c r="G83" s="64"/>
      <c r="H83" s="85" t="s">
        <v>473</v>
      </c>
      <c r="I83" s="64">
        <f>IF(ISBLANK(J83),"",VLOOKUP(J83,定义!$D$3:$E$40,2,FALSE))</f>
        <v>31</v>
      </c>
      <c r="J83" s="106" t="s">
        <v>465</v>
      </c>
      <c r="K83" s="79">
        <v>-250</v>
      </c>
      <c r="L83" s="79">
        <v>250</v>
      </c>
      <c r="M83" s="83">
        <v>-10</v>
      </c>
      <c r="N83" s="79">
        <v>300</v>
      </c>
      <c r="O83" s="79">
        <v>-70</v>
      </c>
      <c r="P83" s="79">
        <v>70</v>
      </c>
      <c r="Q83" s="79"/>
      <c r="R83" s="79"/>
      <c r="S83" s="79"/>
      <c r="T83" s="79"/>
      <c r="U83" s="80"/>
      <c r="V83" s="81"/>
    </row>
    <row r="84" spans="1:22" ht="22.5" customHeight="1">
      <c r="A84" s="64">
        <f>ROW()</f>
        <v>84</v>
      </c>
      <c r="B84" s="73">
        <v>60001</v>
      </c>
      <c r="C84" s="64" t="s">
        <v>592</v>
      </c>
      <c r="D84" s="82">
        <v>0.75</v>
      </c>
      <c r="E84" s="73">
        <v>4</v>
      </c>
      <c r="F84" s="73"/>
      <c r="G84" s="64"/>
      <c r="H84" s="85" t="s">
        <v>549</v>
      </c>
      <c r="I84" s="64">
        <f>IF(ISBLANK(J84),"",VLOOKUP(J84,定义!$D$3:$E$40,2,FALSE))</f>
        <v>1</v>
      </c>
      <c r="J84" s="106" t="s">
        <v>466</v>
      </c>
      <c r="K84" s="79">
        <v>100</v>
      </c>
      <c r="L84" s="79">
        <v>1</v>
      </c>
      <c r="N84" s="79"/>
      <c r="O84" s="79"/>
      <c r="P84" s="79"/>
      <c r="Q84" s="79"/>
      <c r="R84" s="79"/>
      <c r="S84" s="79"/>
      <c r="T84" s="79"/>
      <c r="U84" s="80"/>
      <c r="V84" s="81"/>
    </row>
    <row r="85" spans="1:22" ht="18" customHeight="1">
      <c r="A85" s="64">
        <f>ROW()</f>
        <v>85</v>
      </c>
      <c r="B85" s="73">
        <v>60001</v>
      </c>
      <c r="C85" s="64" t="s">
        <v>592</v>
      </c>
      <c r="D85" s="82">
        <v>0.75</v>
      </c>
      <c r="E85" s="73">
        <v>4</v>
      </c>
      <c r="F85" s="73"/>
      <c r="G85" s="64"/>
      <c r="H85" s="85" t="s">
        <v>550</v>
      </c>
      <c r="I85" s="64">
        <f>IF(ISBLANK(J85),"",VLOOKUP(J85,定义!$D$3:$E$40,2,FALSE))</f>
        <v>8</v>
      </c>
      <c r="J85" s="106" t="s">
        <v>483</v>
      </c>
      <c r="K85" s="79">
        <v>0</v>
      </c>
      <c r="L85" s="79">
        <v>150</v>
      </c>
      <c r="M85" s="79">
        <v>0</v>
      </c>
      <c r="N85" s="79">
        <v>0.25</v>
      </c>
      <c r="O85" s="79">
        <v>220</v>
      </c>
      <c r="P85" s="79"/>
      <c r="Q85" s="79"/>
      <c r="R85" s="79"/>
      <c r="S85" s="79"/>
      <c r="T85" s="79"/>
      <c r="U85" s="80"/>
      <c r="V85" s="81"/>
    </row>
    <row r="86" spans="1:22" ht="18" customHeight="1">
      <c r="A86" s="64">
        <f>ROW()</f>
        <v>86</v>
      </c>
      <c r="B86" s="73">
        <v>60001</v>
      </c>
      <c r="C86" s="64" t="s">
        <v>592</v>
      </c>
      <c r="D86" s="82">
        <v>0.75</v>
      </c>
      <c r="E86" s="73">
        <v>4</v>
      </c>
      <c r="F86" s="73"/>
      <c r="G86" s="64"/>
      <c r="H86" s="85" t="s">
        <v>550</v>
      </c>
      <c r="I86" s="64">
        <f>IF(ISBLANK(J86),"",VLOOKUP(J86,定义!$D$3:$E$40,2,FALSE))</f>
        <v>9</v>
      </c>
      <c r="J86" s="106" t="s">
        <v>494</v>
      </c>
      <c r="K86" s="79">
        <v>0</v>
      </c>
      <c r="L86" s="79">
        <v>10</v>
      </c>
      <c r="M86" s="79">
        <v>0</v>
      </c>
      <c r="N86" s="79">
        <v>0.2</v>
      </c>
      <c r="O86" s="79">
        <v>220</v>
      </c>
      <c r="P86" s="79"/>
      <c r="Q86" s="79"/>
      <c r="R86" s="79"/>
      <c r="S86" s="79"/>
      <c r="T86" s="79"/>
      <c r="U86" s="80"/>
      <c r="V86" s="81"/>
    </row>
    <row r="87" spans="1:22" ht="22.5" customHeight="1">
      <c r="A87" s="64">
        <f>ROW()</f>
        <v>87</v>
      </c>
      <c r="B87" s="73">
        <v>60001</v>
      </c>
      <c r="C87" s="64" t="s">
        <v>592</v>
      </c>
      <c r="D87" s="82">
        <v>0.95</v>
      </c>
      <c r="E87" s="73">
        <v>5</v>
      </c>
      <c r="F87" s="73"/>
      <c r="G87" s="64"/>
      <c r="H87" s="85" t="s">
        <v>473</v>
      </c>
      <c r="I87" s="64">
        <f>IF(ISBLANK(J87),"",VLOOKUP(J87,定义!$D$3:$E$40,2,FALSE))</f>
        <v>31</v>
      </c>
      <c r="J87" s="106" t="s">
        <v>465</v>
      </c>
      <c r="K87" s="79">
        <v>-250</v>
      </c>
      <c r="L87" s="79">
        <v>250</v>
      </c>
      <c r="M87" s="83">
        <v>-10</v>
      </c>
      <c r="N87" s="79">
        <v>300</v>
      </c>
      <c r="O87" s="79">
        <v>-70</v>
      </c>
      <c r="P87" s="79">
        <v>70</v>
      </c>
      <c r="Q87" s="79"/>
      <c r="R87" s="79"/>
      <c r="S87" s="79"/>
      <c r="T87" s="79"/>
      <c r="U87" s="80"/>
      <c r="V87" s="81"/>
    </row>
    <row r="88" spans="1:22" ht="22.5" customHeight="1">
      <c r="A88" s="64">
        <f>ROW()</f>
        <v>88</v>
      </c>
      <c r="B88" s="73">
        <v>60001</v>
      </c>
      <c r="C88" s="64" t="s">
        <v>592</v>
      </c>
      <c r="D88" s="82">
        <v>0.95</v>
      </c>
      <c r="E88" s="73">
        <v>5</v>
      </c>
      <c r="F88" s="73"/>
      <c r="G88" s="64"/>
      <c r="H88" s="85" t="s">
        <v>549</v>
      </c>
      <c r="I88" s="64">
        <f>IF(ISBLANK(J88),"",VLOOKUP(J88,定义!$D$3:$E$40,2,FALSE))</f>
        <v>1</v>
      </c>
      <c r="J88" s="106" t="s">
        <v>466</v>
      </c>
      <c r="K88" s="79">
        <v>100</v>
      </c>
      <c r="L88" s="79">
        <v>1</v>
      </c>
      <c r="N88" s="79"/>
      <c r="O88" s="79"/>
      <c r="P88" s="79"/>
      <c r="Q88" s="79"/>
      <c r="R88" s="79"/>
      <c r="S88" s="79"/>
      <c r="T88" s="79"/>
      <c r="U88" s="80"/>
      <c r="V88" s="81"/>
    </row>
    <row r="89" spans="1:22" ht="18" customHeight="1">
      <c r="A89" s="64">
        <f>ROW()</f>
        <v>89</v>
      </c>
      <c r="B89" s="73">
        <v>60001</v>
      </c>
      <c r="C89" s="64" t="s">
        <v>592</v>
      </c>
      <c r="D89" s="82">
        <v>0.95</v>
      </c>
      <c r="E89" s="73">
        <v>5</v>
      </c>
      <c r="F89" s="73"/>
      <c r="G89" s="64"/>
      <c r="H89" s="85" t="s">
        <v>550</v>
      </c>
      <c r="I89" s="64">
        <f>IF(ISBLANK(J89),"",VLOOKUP(J89,定义!$D$3:$E$40,2,FALSE))</f>
        <v>8</v>
      </c>
      <c r="J89" s="106" t="s">
        <v>483</v>
      </c>
      <c r="K89" s="79">
        <v>0</v>
      </c>
      <c r="L89" s="79">
        <v>150</v>
      </c>
      <c r="M89" s="79">
        <v>0</v>
      </c>
      <c r="N89" s="79">
        <v>0.25</v>
      </c>
      <c r="O89" s="79">
        <v>220</v>
      </c>
      <c r="P89" s="79"/>
      <c r="Q89" s="79"/>
      <c r="R89" s="79"/>
      <c r="S89" s="79"/>
      <c r="T89" s="79"/>
      <c r="U89" s="80"/>
      <c r="V89" s="81"/>
    </row>
    <row r="90" spans="1:22" ht="18" customHeight="1">
      <c r="A90" s="64">
        <f>ROW()</f>
        <v>90</v>
      </c>
      <c r="B90" s="73">
        <v>60001</v>
      </c>
      <c r="C90" s="64" t="s">
        <v>592</v>
      </c>
      <c r="D90" s="82">
        <v>0.95</v>
      </c>
      <c r="E90" s="73">
        <v>5</v>
      </c>
      <c r="F90" s="73"/>
      <c r="G90" s="64"/>
      <c r="H90" s="85" t="s">
        <v>550</v>
      </c>
      <c r="I90" s="64">
        <f>IF(ISBLANK(J90),"",VLOOKUP(J90,定义!$D$3:$E$40,2,FALSE))</f>
        <v>9</v>
      </c>
      <c r="J90" s="106" t="s">
        <v>494</v>
      </c>
      <c r="K90" s="79">
        <v>0</v>
      </c>
      <c r="L90" s="79">
        <v>10</v>
      </c>
      <c r="M90" s="79">
        <v>0</v>
      </c>
      <c r="N90" s="79">
        <v>0.2</v>
      </c>
      <c r="O90" s="79">
        <v>220</v>
      </c>
      <c r="P90" s="79"/>
      <c r="Q90" s="79"/>
      <c r="R90" s="79"/>
      <c r="S90" s="79"/>
      <c r="T90" s="79"/>
      <c r="U90" s="80"/>
      <c r="V90" s="81"/>
    </row>
    <row r="91" spans="1:22" ht="22.5" customHeight="1">
      <c r="A91" s="64">
        <f>ROW()</f>
        <v>91</v>
      </c>
      <c r="B91" s="73">
        <v>60001</v>
      </c>
      <c r="C91" s="64" t="s">
        <v>592</v>
      </c>
      <c r="D91" s="82">
        <v>1.1499999999999999</v>
      </c>
      <c r="E91" s="73">
        <v>6</v>
      </c>
      <c r="F91" s="73"/>
      <c r="G91" s="64"/>
      <c r="H91" s="85" t="s">
        <v>473</v>
      </c>
      <c r="I91" s="64">
        <f>IF(ISBLANK(J91),"",VLOOKUP(J91,定义!$D$3:$E$40,2,FALSE))</f>
        <v>31</v>
      </c>
      <c r="J91" s="106" t="s">
        <v>465</v>
      </c>
      <c r="K91" s="79">
        <v>-250</v>
      </c>
      <c r="L91" s="79">
        <v>250</v>
      </c>
      <c r="M91" s="83">
        <v>-10</v>
      </c>
      <c r="N91" s="79">
        <v>300</v>
      </c>
      <c r="O91" s="79">
        <v>-70</v>
      </c>
      <c r="P91" s="79">
        <v>70</v>
      </c>
      <c r="Q91" s="79"/>
      <c r="R91" s="79"/>
      <c r="S91" s="79"/>
      <c r="T91" s="79"/>
      <c r="U91" s="80"/>
      <c r="V91" s="81"/>
    </row>
    <row r="92" spans="1:22" ht="22.5" customHeight="1">
      <c r="A92" s="64">
        <f>ROW()</f>
        <v>92</v>
      </c>
      <c r="B92" s="73">
        <v>60001</v>
      </c>
      <c r="C92" s="64" t="s">
        <v>592</v>
      </c>
      <c r="D92" s="82">
        <v>1.1499999999999999</v>
      </c>
      <c r="E92" s="73">
        <v>6</v>
      </c>
      <c r="F92" s="73"/>
      <c r="G92" s="64"/>
      <c r="H92" s="85" t="s">
        <v>549</v>
      </c>
      <c r="I92" s="64">
        <f>IF(ISBLANK(J92),"",VLOOKUP(J92,定义!$D$3:$E$40,2,FALSE))</f>
        <v>1</v>
      </c>
      <c r="J92" s="106" t="s">
        <v>466</v>
      </c>
      <c r="K92" s="79">
        <v>100</v>
      </c>
      <c r="L92" s="79">
        <v>1</v>
      </c>
      <c r="N92" s="79"/>
      <c r="O92" s="79"/>
      <c r="P92" s="79"/>
      <c r="Q92" s="79"/>
      <c r="R92" s="79"/>
      <c r="S92" s="79"/>
      <c r="T92" s="79"/>
      <c r="U92" s="80"/>
      <c r="V92" s="81"/>
    </row>
    <row r="93" spans="1:22" ht="18" customHeight="1">
      <c r="A93" s="64">
        <f>ROW()</f>
        <v>93</v>
      </c>
      <c r="B93" s="73">
        <v>60001</v>
      </c>
      <c r="C93" s="64" t="s">
        <v>592</v>
      </c>
      <c r="D93" s="82">
        <v>1.1499999999999999</v>
      </c>
      <c r="E93" s="73">
        <v>6</v>
      </c>
      <c r="F93" s="73"/>
      <c r="G93" s="64"/>
      <c r="H93" s="85" t="s">
        <v>550</v>
      </c>
      <c r="I93" s="64">
        <f>IF(ISBLANK(J93),"",VLOOKUP(J93,定义!$D$3:$E$40,2,FALSE))</f>
        <v>8</v>
      </c>
      <c r="J93" s="106" t="s">
        <v>483</v>
      </c>
      <c r="K93" s="79">
        <v>0</v>
      </c>
      <c r="L93" s="79">
        <v>150</v>
      </c>
      <c r="M93" s="79">
        <v>0</v>
      </c>
      <c r="N93" s="79">
        <v>0.25</v>
      </c>
      <c r="O93" s="79">
        <v>220</v>
      </c>
      <c r="P93" s="79"/>
      <c r="Q93" s="79"/>
      <c r="R93" s="79"/>
      <c r="S93" s="79"/>
      <c r="T93" s="79"/>
      <c r="U93" s="80"/>
      <c r="V93" s="81"/>
    </row>
    <row r="94" spans="1:22" ht="18" customHeight="1">
      <c r="A94" s="64">
        <f>ROW()</f>
        <v>94</v>
      </c>
      <c r="B94" s="73">
        <v>60001</v>
      </c>
      <c r="C94" s="64" t="s">
        <v>592</v>
      </c>
      <c r="D94" s="82">
        <v>1.1499999999999999</v>
      </c>
      <c r="E94" s="73">
        <v>6</v>
      </c>
      <c r="F94" s="73"/>
      <c r="G94" s="64"/>
      <c r="H94" s="85" t="s">
        <v>550</v>
      </c>
      <c r="I94" s="64">
        <f>IF(ISBLANK(J94),"",VLOOKUP(J94,定义!$D$3:$E$40,2,FALSE))</f>
        <v>9</v>
      </c>
      <c r="J94" s="106" t="s">
        <v>494</v>
      </c>
      <c r="K94" s="79">
        <v>0</v>
      </c>
      <c r="L94" s="79">
        <v>10</v>
      </c>
      <c r="M94" s="79">
        <v>0</v>
      </c>
      <c r="N94" s="79">
        <v>0.2</v>
      </c>
      <c r="O94" s="79">
        <v>220</v>
      </c>
      <c r="P94" s="79"/>
      <c r="Q94" s="79"/>
      <c r="R94" s="79"/>
      <c r="S94" s="79"/>
      <c r="T94" s="79"/>
      <c r="U94" s="80"/>
      <c r="V94" s="81"/>
    </row>
    <row r="95" spans="1:22" ht="22.5" customHeight="1">
      <c r="A95" s="64">
        <f>ROW()</f>
        <v>95</v>
      </c>
      <c r="B95" s="73">
        <v>60001</v>
      </c>
      <c r="C95" s="64" t="s">
        <v>592</v>
      </c>
      <c r="D95" s="82">
        <v>1.68</v>
      </c>
      <c r="E95" s="73">
        <v>7</v>
      </c>
      <c r="F95" s="73"/>
      <c r="G95" s="64"/>
      <c r="H95" s="85" t="s">
        <v>473</v>
      </c>
      <c r="I95" s="64">
        <f>IF(ISBLANK(J95),"",VLOOKUP(J95,定义!$D$3:$E$40,2,FALSE))</f>
        <v>31</v>
      </c>
      <c r="J95" s="106" t="s">
        <v>465</v>
      </c>
      <c r="K95" s="79">
        <v>-250</v>
      </c>
      <c r="L95" s="79">
        <v>250</v>
      </c>
      <c r="M95" s="83">
        <v>-10</v>
      </c>
      <c r="N95" s="79">
        <v>300</v>
      </c>
      <c r="O95" s="79">
        <v>-70</v>
      </c>
      <c r="P95" s="79">
        <v>70</v>
      </c>
      <c r="Q95" s="79"/>
      <c r="R95" s="79"/>
      <c r="S95" s="79"/>
      <c r="T95" s="79"/>
      <c r="U95" s="80"/>
      <c r="V95" s="81"/>
    </row>
    <row r="96" spans="1:22" ht="22.5" customHeight="1">
      <c r="A96" s="64">
        <f>ROW()</f>
        <v>96</v>
      </c>
      <c r="B96" s="73">
        <v>60001</v>
      </c>
      <c r="C96" s="64" t="s">
        <v>592</v>
      </c>
      <c r="D96" s="82">
        <v>1.68</v>
      </c>
      <c r="E96" s="73">
        <v>7</v>
      </c>
      <c r="F96" s="73"/>
      <c r="G96" s="64"/>
      <c r="H96" s="85" t="s">
        <v>549</v>
      </c>
      <c r="I96" s="64">
        <f>IF(ISBLANK(J96),"",VLOOKUP(J96,定义!$D$3:$E$40,2,FALSE))</f>
        <v>1</v>
      </c>
      <c r="J96" s="106" t="s">
        <v>466</v>
      </c>
      <c r="K96" s="79">
        <v>0</v>
      </c>
      <c r="L96" s="79">
        <v>1</v>
      </c>
      <c r="N96" s="79"/>
      <c r="O96" s="79"/>
      <c r="P96" s="79"/>
      <c r="Q96" s="79"/>
      <c r="R96" s="79"/>
      <c r="S96" s="79"/>
      <c r="T96" s="79"/>
      <c r="U96" s="80"/>
      <c r="V96" s="81"/>
    </row>
    <row r="97" spans="1:22" ht="18" customHeight="1">
      <c r="A97" s="64">
        <f>ROW()</f>
        <v>97</v>
      </c>
      <c r="B97" s="73">
        <v>60001</v>
      </c>
      <c r="C97" s="64" t="s">
        <v>592</v>
      </c>
      <c r="D97" s="82">
        <v>1.68</v>
      </c>
      <c r="E97" s="73">
        <v>7</v>
      </c>
      <c r="F97" s="73"/>
      <c r="G97" s="64"/>
      <c r="H97" s="85" t="s">
        <v>597</v>
      </c>
      <c r="I97" s="64">
        <f>IF(ISBLANK(J97),"",VLOOKUP(J97,定义!$D$3:$E$40,2,FALSE))</f>
        <v>8</v>
      </c>
      <c r="J97" s="106" t="s">
        <v>483</v>
      </c>
      <c r="K97" s="79">
        <v>0</v>
      </c>
      <c r="L97" s="79">
        <v>250</v>
      </c>
      <c r="M97" s="79">
        <v>0</v>
      </c>
      <c r="N97" s="79">
        <v>0.25</v>
      </c>
      <c r="O97" s="79">
        <v>250</v>
      </c>
      <c r="P97" s="79"/>
      <c r="Q97" s="79"/>
      <c r="R97" s="79"/>
      <c r="S97" s="79"/>
      <c r="T97" s="79"/>
      <c r="U97" s="80"/>
      <c r="V97" s="81"/>
    </row>
    <row r="98" spans="1:22" ht="18" customHeight="1">
      <c r="A98" s="64">
        <f>ROW()</f>
        <v>98</v>
      </c>
      <c r="B98" s="73">
        <v>60001</v>
      </c>
      <c r="C98" s="64" t="s">
        <v>592</v>
      </c>
      <c r="D98" s="82">
        <v>1.68</v>
      </c>
      <c r="E98" s="73">
        <v>7</v>
      </c>
      <c r="F98" s="73"/>
      <c r="G98" s="64"/>
      <c r="H98" s="85" t="s">
        <v>550</v>
      </c>
      <c r="I98" s="64">
        <f>IF(ISBLANK(J98),"",VLOOKUP(J98,定义!$D$3:$E$40,2,FALSE))</f>
        <v>9</v>
      </c>
      <c r="J98" s="106" t="s">
        <v>494</v>
      </c>
      <c r="K98" s="79">
        <v>0</v>
      </c>
      <c r="L98" s="79">
        <v>150</v>
      </c>
      <c r="M98" s="79">
        <v>0</v>
      </c>
      <c r="N98" s="79">
        <v>0.2</v>
      </c>
      <c r="O98" s="79">
        <v>250</v>
      </c>
      <c r="P98" s="79"/>
      <c r="Q98" s="79"/>
      <c r="R98" s="79"/>
      <c r="S98" s="79"/>
      <c r="T98" s="79"/>
      <c r="U98" s="80"/>
      <c r="V98" s="81"/>
    </row>
    <row r="99" spans="1:22" ht="18" customHeight="1">
      <c r="A99" s="64">
        <f>ROW()</f>
        <v>99</v>
      </c>
      <c r="B99" s="73">
        <v>60001</v>
      </c>
      <c r="C99" s="64" t="s">
        <v>592</v>
      </c>
      <c r="D99" s="82">
        <v>2</v>
      </c>
      <c r="E99" s="73"/>
      <c r="F99" s="73"/>
      <c r="G99" s="64"/>
      <c r="H99" s="85"/>
      <c r="I99" s="64">
        <f>IF(ISBLANK(J99),"",VLOOKUP(J99,定义!$D$3:$E$40,2,FALSE))</f>
        <v>18</v>
      </c>
      <c r="J99" s="106" t="s">
        <v>463</v>
      </c>
      <c r="K99" s="79">
        <v>1</v>
      </c>
      <c r="L99" s="79">
        <v>0</v>
      </c>
      <c r="M99" s="79">
        <v>1</v>
      </c>
      <c r="N99" s="79"/>
      <c r="O99" s="79"/>
      <c r="P99" s="79"/>
      <c r="Q99" s="79"/>
      <c r="R99" s="79"/>
      <c r="S99" s="79"/>
      <c r="T99" s="79"/>
      <c r="U99" s="80"/>
      <c r="V99" s="81"/>
    </row>
  </sheetData>
  <phoneticPr fontId="4" type="noConversion"/>
  <conditionalFormatting sqref="B100:B1048576 B1:B5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:B59 B63:B6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:B5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7:B5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8:B6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1:B7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1:B7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2:B7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6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:B6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:B6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9:B8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9:B8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0:B8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5:B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6:B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5:B7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5:B7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6:B7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3:B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3:B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4:B8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7:B9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7:B9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8:B9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:B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1:B9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2:B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10</xdr:col>
                    <xdr:colOff>85725</xdr:colOff>
                    <xdr:row>1</xdr:row>
                    <xdr:rowOff>161925</xdr:rowOff>
                  </from>
                  <to>
                    <xdr:col>11</xdr:col>
                    <xdr:colOff>371475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76" r:id="rId6" name="Button 22468">
              <controlPr defaultSize="0" print="0" autoFill="0" autoPict="0" macro="[0]!调用——生成json">
                <anchor moveWithCells="1" sizeWithCells="1">
                  <from>
                    <xdr:col>11</xdr:col>
                    <xdr:colOff>1304925</xdr:colOff>
                    <xdr:row>1</xdr:row>
                    <xdr:rowOff>133350</xdr:rowOff>
                  </from>
                  <to>
                    <xdr:col>12</xdr:col>
                    <xdr:colOff>1504950</xdr:colOff>
                    <xdr:row>1</xdr:row>
                    <xdr:rowOff>561975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4"/>
  <sheetViews>
    <sheetView workbookViewId="0">
      <pane xSplit="5" ySplit="2" topLeftCell="F6" activePane="bottomRight" state="frozen"/>
      <selection pane="topRight" activeCell="F1" sqref="F1"/>
      <selection pane="bottomLeft" activeCell="A3" sqref="A3"/>
      <selection pane="bottomRight" activeCell="F16" sqref="F16:I16"/>
    </sheetView>
  </sheetViews>
  <sheetFormatPr defaultRowHeight="13.5"/>
  <cols>
    <col min="1" max="1" width="9" bestFit="1" customWidth="1"/>
    <col min="3" max="3" width="9" style="99"/>
    <col min="4" max="4" width="16.625" style="89" bestFit="1" customWidth="1"/>
    <col min="6" max="6" width="30" customWidth="1"/>
    <col min="7" max="7" width="27.75" bestFit="1" customWidth="1"/>
    <col min="8" max="8" width="18.75" bestFit="1" customWidth="1"/>
    <col min="9" max="9" width="25" bestFit="1" customWidth="1"/>
    <col min="10" max="10" width="18.75" bestFit="1" customWidth="1"/>
    <col min="11" max="13" width="13.625" bestFit="1" customWidth="1"/>
    <col min="14" max="14" width="6.25" customWidth="1"/>
    <col min="19" max="19" width="59.375" bestFit="1" customWidth="1"/>
  </cols>
  <sheetData>
    <row r="1" spans="1:19">
      <c r="A1" t="s">
        <v>509</v>
      </c>
    </row>
    <row r="2" spans="1:19" s="89" customFormat="1">
      <c r="D2" s="89" t="s">
        <v>38</v>
      </c>
      <c r="E2" s="89" t="s">
        <v>242</v>
      </c>
      <c r="F2" s="89" t="s">
        <v>244</v>
      </c>
      <c r="G2" s="89" t="s">
        <v>245</v>
      </c>
      <c r="H2" s="89" t="s">
        <v>246</v>
      </c>
      <c r="I2" s="89" t="s">
        <v>247</v>
      </c>
      <c r="J2" s="89" t="s">
        <v>248</v>
      </c>
      <c r="K2" s="89" t="s">
        <v>249</v>
      </c>
      <c r="L2" s="89" t="s">
        <v>250</v>
      </c>
      <c r="M2" s="89" t="s">
        <v>251</v>
      </c>
      <c r="N2" s="89" t="s">
        <v>252</v>
      </c>
      <c r="O2" s="89" t="s">
        <v>253</v>
      </c>
    </row>
    <row r="3" spans="1:19">
      <c r="D3" s="90" t="s">
        <v>49</v>
      </c>
      <c r="E3" s="35">
        <v>1</v>
      </c>
      <c r="F3" s="35" t="s">
        <v>254</v>
      </c>
      <c r="G3" s="35" t="s">
        <v>255</v>
      </c>
      <c r="H3" s="35"/>
      <c r="I3" s="35"/>
      <c r="J3" s="35"/>
      <c r="K3" s="35"/>
      <c r="L3" s="35"/>
      <c r="M3" s="35"/>
      <c r="S3" t="s">
        <v>259</v>
      </c>
    </row>
    <row r="4" spans="1:19" ht="27">
      <c r="D4" s="90" t="s">
        <v>70</v>
      </c>
      <c r="E4" s="35">
        <v>2</v>
      </c>
      <c r="F4" s="35" t="s">
        <v>256</v>
      </c>
      <c r="G4" s="35" t="s">
        <v>554</v>
      </c>
      <c r="H4" s="35"/>
      <c r="I4" s="35"/>
      <c r="J4" s="35"/>
      <c r="K4" s="35"/>
      <c r="L4" s="35"/>
      <c r="M4" s="35"/>
      <c r="S4" t="s">
        <v>260</v>
      </c>
    </row>
    <row r="5" spans="1:19" ht="27">
      <c r="D5" s="90" t="s">
        <v>508</v>
      </c>
      <c r="E5" s="35">
        <v>3</v>
      </c>
      <c r="F5" s="35" t="s">
        <v>257</v>
      </c>
      <c r="G5" s="35" t="s">
        <v>534</v>
      </c>
      <c r="H5" s="35" t="s">
        <v>506</v>
      </c>
      <c r="I5" s="35" t="s">
        <v>515</v>
      </c>
      <c r="J5" s="35" t="s">
        <v>562</v>
      </c>
      <c r="K5" s="35"/>
      <c r="L5" s="35"/>
      <c r="M5" s="35"/>
      <c r="S5" t="s">
        <v>261</v>
      </c>
    </row>
    <row r="6" spans="1:19">
      <c r="D6" s="90" t="s">
        <v>617</v>
      </c>
      <c r="E6" s="35">
        <v>4</v>
      </c>
      <c r="F6" s="35" t="s">
        <v>566</v>
      </c>
      <c r="G6" s="35" t="s">
        <v>565</v>
      </c>
      <c r="H6" s="35" t="s">
        <v>564</v>
      </c>
      <c r="I6" s="35" t="s">
        <v>563</v>
      </c>
      <c r="J6" s="35"/>
      <c r="K6" s="35"/>
      <c r="L6" s="35"/>
      <c r="M6" s="35"/>
      <c r="S6" t="s">
        <v>262</v>
      </c>
    </row>
    <row r="7" spans="1:19" ht="27">
      <c r="D7" s="91" t="s">
        <v>71</v>
      </c>
      <c r="E7" s="35">
        <v>5</v>
      </c>
      <c r="F7" s="35" t="s">
        <v>258</v>
      </c>
      <c r="G7" s="35" t="s">
        <v>505</v>
      </c>
      <c r="H7" s="35"/>
      <c r="I7" s="35"/>
      <c r="J7" s="35"/>
      <c r="K7" s="35"/>
      <c r="L7" s="35"/>
      <c r="M7" s="35"/>
    </row>
    <row r="8" spans="1:19">
      <c r="D8" s="91" t="s">
        <v>72</v>
      </c>
      <c r="E8" s="35">
        <v>6</v>
      </c>
      <c r="F8" s="35" t="s">
        <v>256</v>
      </c>
      <c r="G8" s="35"/>
      <c r="H8" s="35"/>
      <c r="I8" s="35"/>
      <c r="J8" s="35"/>
      <c r="K8" s="35"/>
      <c r="L8" s="35"/>
      <c r="M8" s="35"/>
    </row>
    <row r="9" spans="1:19">
      <c r="B9" t="s">
        <v>285</v>
      </c>
      <c r="D9" s="91" t="s">
        <v>478</v>
      </c>
      <c r="E9" s="35">
        <v>7</v>
      </c>
      <c r="F9" s="35" t="s">
        <v>540</v>
      </c>
      <c r="G9" s="35" t="s">
        <v>542</v>
      </c>
      <c r="H9" s="35" t="s">
        <v>264</v>
      </c>
      <c r="I9" s="35"/>
      <c r="J9" s="35"/>
      <c r="K9" s="35"/>
      <c r="L9" s="35"/>
      <c r="M9" s="35"/>
    </row>
    <row r="10" spans="1:19" ht="67.5">
      <c r="B10" t="s">
        <v>285</v>
      </c>
      <c r="D10" s="91" t="s">
        <v>286</v>
      </c>
      <c r="E10" s="35">
        <v>8</v>
      </c>
      <c r="F10" s="35" t="s">
        <v>540</v>
      </c>
      <c r="G10" s="35" t="s">
        <v>543</v>
      </c>
      <c r="H10" s="35" t="s">
        <v>542</v>
      </c>
      <c r="I10" s="35" t="s">
        <v>493</v>
      </c>
      <c r="J10" s="35" t="s">
        <v>265</v>
      </c>
      <c r="K10" s="35" t="s">
        <v>548</v>
      </c>
      <c r="L10" s="35"/>
      <c r="M10" s="35"/>
    </row>
    <row r="11" spans="1:19" ht="67.5">
      <c r="B11" t="s">
        <v>285</v>
      </c>
      <c r="D11" s="91" t="s">
        <v>73</v>
      </c>
      <c r="E11" s="35">
        <v>9</v>
      </c>
      <c r="F11" s="35" t="s">
        <v>540</v>
      </c>
      <c r="G11" s="35" t="s">
        <v>543</v>
      </c>
      <c r="H11" s="35" t="s">
        <v>542</v>
      </c>
      <c r="I11" s="35" t="s">
        <v>493</v>
      </c>
      <c r="J11" s="35" t="s">
        <v>265</v>
      </c>
      <c r="K11" s="35" t="s">
        <v>503</v>
      </c>
      <c r="L11" s="35"/>
      <c r="M11" s="35"/>
    </row>
    <row r="12" spans="1:19">
      <c r="D12" s="91" t="s">
        <v>74</v>
      </c>
      <c r="E12" s="35">
        <v>10</v>
      </c>
      <c r="F12" s="35" t="s">
        <v>540</v>
      </c>
      <c r="G12" s="35" t="s">
        <v>263</v>
      </c>
      <c r="H12" s="35"/>
      <c r="I12" s="35"/>
      <c r="J12" s="35"/>
      <c r="K12" s="35"/>
      <c r="L12" s="35"/>
      <c r="M12" s="35"/>
    </row>
    <row r="13" spans="1:19" ht="27">
      <c r="B13" t="s">
        <v>285</v>
      </c>
      <c r="D13" s="91" t="s">
        <v>75</v>
      </c>
      <c r="E13" s="35">
        <v>11</v>
      </c>
      <c r="F13" s="35" t="s">
        <v>540</v>
      </c>
      <c r="G13" s="15" t="s">
        <v>542</v>
      </c>
      <c r="H13" s="15" t="s">
        <v>266</v>
      </c>
      <c r="J13" s="35"/>
      <c r="K13" s="35"/>
      <c r="L13" s="35"/>
      <c r="M13" s="35"/>
    </row>
    <row r="14" spans="1:19">
      <c r="D14" s="91" t="s">
        <v>76</v>
      </c>
      <c r="E14" s="35">
        <v>12</v>
      </c>
      <c r="F14" s="35"/>
      <c r="G14" s="35"/>
      <c r="H14" s="35"/>
      <c r="I14" s="35"/>
      <c r="J14" s="35"/>
      <c r="K14" s="35"/>
      <c r="L14" s="35"/>
      <c r="M14" s="35"/>
    </row>
    <row r="15" spans="1:19">
      <c r="D15" s="91" t="s">
        <v>77</v>
      </c>
      <c r="E15" s="35">
        <v>13</v>
      </c>
      <c r="F15" s="35" t="s">
        <v>267</v>
      </c>
      <c r="G15" s="35" t="s">
        <v>268</v>
      </c>
      <c r="H15" s="35" t="s">
        <v>269</v>
      </c>
      <c r="I15" s="35"/>
      <c r="J15" s="35"/>
      <c r="K15" s="35"/>
      <c r="L15" s="35"/>
      <c r="M15" s="35"/>
    </row>
    <row r="16" spans="1:19" ht="54">
      <c r="D16" s="91" t="s">
        <v>78</v>
      </c>
      <c r="E16" s="35">
        <v>14</v>
      </c>
      <c r="F16" s="24" t="s">
        <v>620</v>
      </c>
      <c r="G16" s="22" t="s">
        <v>621</v>
      </c>
      <c r="H16" s="24" t="s">
        <v>622</v>
      </c>
      <c r="I16" s="24" t="s">
        <v>623</v>
      </c>
      <c r="J16" s="35"/>
      <c r="K16" s="35"/>
      <c r="L16" s="35"/>
      <c r="M16" s="35"/>
    </row>
    <row r="17" spans="2:13" ht="54">
      <c r="B17" t="s">
        <v>285</v>
      </c>
      <c r="D17" s="91" t="s">
        <v>79</v>
      </c>
      <c r="E17" s="35">
        <v>16</v>
      </c>
      <c r="F17" s="14" t="s">
        <v>162</v>
      </c>
      <c r="G17" s="15" t="s">
        <v>163</v>
      </c>
      <c r="H17" s="15" t="s">
        <v>164</v>
      </c>
      <c r="I17" s="15" t="s">
        <v>157</v>
      </c>
      <c r="J17" s="15" t="s">
        <v>516</v>
      </c>
      <c r="K17" s="15" t="s">
        <v>517</v>
      </c>
      <c r="L17" s="35" t="s">
        <v>519</v>
      </c>
      <c r="M17" s="35"/>
    </row>
    <row r="18" spans="2:13">
      <c r="D18" s="91" t="s">
        <v>80</v>
      </c>
      <c r="E18" s="35">
        <v>17</v>
      </c>
      <c r="F18" s="35" t="s">
        <v>270</v>
      </c>
      <c r="G18" s="35"/>
      <c r="H18" s="35"/>
      <c r="I18" s="35"/>
      <c r="J18" s="35"/>
      <c r="K18" s="35"/>
      <c r="L18" s="35"/>
      <c r="M18" s="35"/>
    </row>
    <row r="19" spans="2:13" ht="94.5">
      <c r="B19" t="s">
        <v>285</v>
      </c>
      <c r="D19" s="91" t="s">
        <v>81</v>
      </c>
      <c r="E19" s="35">
        <v>18</v>
      </c>
      <c r="F19" s="24" t="s">
        <v>501</v>
      </c>
      <c r="G19" s="24" t="s">
        <v>451</v>
      </c>
      <c r="H19" s="24" t="s">
        <v>594</v>
      </c>
      <c r="I19" s="24" t="s">
        <v>464</v>
      </c>
      <c r="K19" s="35"/>
      <c r="L19" s="35"/>
      <c r="M19" s="35"/>
    </row>
    <row r="20" spans="2:13" ht="54">
      <c r="D20" s="91" t="s">
        <v>82</v>
      </c>
      <c r="E20" s="35">
        <v>19</v>
      </c>
      <c r="F20" s="15" t="s">
        <v>271</v>
      </c>
      <c r="G20" s="14" t="s">
        <v>272</v>
      </c>
      <c r="H20" s="15" t="s">
        <v>273</v>
      </c>
      <c r="I20" s="15" t="s">
        <v>274</v>
      </c>
      <c r="K20" s="35"/>
      <c r="L20" s="35"/>
      <c r="M20" s="35"/>
    </row>
    <row r="21" spans="2:13">
      <c r="D21" s="91" t="s">
        <v>83</v>
      </c>
      <c r="E21" s="35">
        <v>20</v>
      </c>
      <c r="F21" s="35"/>
      <c r="G21" s="35"/>
      <c r="H21" s="35"/>
      <c r="I21" s="35"/>
      <c r="J21" s="35"/>
      <c r="K21" s="35"/>
      <c r="L21" s="35"/>
      <c r="M21" s="35"/>
    </row>
    <row r="22" spans="2:13">
      <c r="D22" s="91" t="s">
        <v>84</v>
      </c>
      <c r="E22" s="35">
        <v>21</v>
      </c>
      <c r="F22" s="35"/>
      <c r="G22" s="35"/>
      <c r="H22" s="35"/>
      <c r="I22" s="35"/>
      <c r="J22" s="35"/>
      <c r="K22" s="35"/>
      <c r="L22" s="35"/>
      <c r="M22" s="35"/>
    </row>
    <row r="23" spans="2:13">
      <c r="D23" s="91" t="s">
        <v>85</v>
      </c>
      <c r="E23" s="35">
        <v>22</v>
      </c>
      <c r="F23" s="35"/>
      <c r="G23" s="35"/>
      <c r="H23" s="35"/>
      <c r="I23" s="35"/>
      <c r="J23" s="35"/>
      <c r="K23" s="35"/>
      <c r="L23" s="35"/>
      <c r="M23" s="35"/>
    </row>
    <row r="24" spans="2:13">
      <c r="D24" s="91" t="s">
        <v>86</v>
      </c>
      <c r="E24" s="35">
        <v>23</v>
      </c>
      <c r="F24" s="35"/>
      <c r="G24" s="35"/>
      <c r="H24" s="35"/>
      <c r="I24" s="35"/>
      <c r="J24" s="35"/>
      <c r="K24" s="35"/>
      <c r="L24" s="35"/>
      <c r="M24" s="35"/>
    </row>
    <row r="25" spans="2:13">
      <c r="D25" s="91" t="s">
        <v>87</v>
      </c>
      <c r="E25" s="35">
        <v>24</v>
      </c>
      <c r="F25" s="35"/>
      <c r="G25" s="35"/>
      <c r="H25" s="35"/>
      <c r="I25" s="35"/>
      <c r="J25" s="35"/>
      <c r="K25" s="35"/>
      <c r="L25" s="35"/>
      <c r="M25" s="35"/>
    </row>
    <row r="26" spans="2:13">
      <c r="D26" s="91" t="s">
        <v>88</v>
      </c>
      <c r="E26" s="35">
        <v>25</v>
      </c>
      <c r="F26" s="35"/>
      <c r="G26" s="35"/>
      <c r="H26" s="35"/>
      <c r="I26" s="35"/>
      <c r="J26" s="35"/>
      <c r="K26" s="35"/>
      <c r="L26" s="35"/>
      <c r="M26" s="35"/>
    </row>
    <row r="27" spans="2:13">
      <c r="D27" s="91" t="s">
        <v>89</v>
      </c>
      <c r="E27" s="35">
        <v>26</v>
      </c>
      <c r="F27" s="35"/>
      <c r="G27" s="35"/>
      <c r="H27" s="35"/>
      <c r="I27" s="35"/>
      <c r="J27" s="35"/>
      <c r="K27" s="35"/>
      <c r="L27" s="35"/>
      <c r="M27" s="35"/>
    </row>
    <row r="28" spans="2:13">
      <c r="D28" s="91" t="s">
        <v>90</v>
      </c>
      <c r="E28" s="35">
        <v>27</v>
      </c>
      <c r="F28" s="35"/>
      <c r="G28" s="35"/>
      <c r="H28" s="35"/>
      <c r="I28" s="35"/>
      <c r="J28" s="35"/>
      <c r="K28" s="35"/>
      <c r="L28" s="35"/>
      <c r="M28" s="35"/>
    </row>
    <row r="29" spans="2:13">
      <c r="D29" s="91" t="s">
        <v>91</v>
      </c>
      <c r="E29" s="35">
        <v>28</v>
      </c>
      <c r="F29" s="35"/>
      <c r="G29" s="35"/>
      <c r="H29" s="35"/>
      <c r="I29" s="35"/>
      <c r="J29" s="35"/>
      <c r="K29" s="35"/>
      <c r="L29" s="35"/>
      <c r="M29" s="35"/>
    </row>
    <row r="30" spans="2:13">
      <c r="D30" s="91" t="s">
        <v>92</v>
      </c>
      <c r="E30" s="35">
        <v>29</v>
      </c>
      <c r="F30" s="35"/>
      <c r="G30" s="35"/>
      <c r="H30" s="35"/>
      <c r="I30" s="35"/>
      <c r="J30" s="35"/>
      <c r="K30" s="35"/>
      <c r="L30" s="35"/>
      <c r="M30" s="35"/>
    </row>
    <row r="31" spans="2:13">
      <c r="D31" s="91" t="s">
        <v>93</v>
      </c>
      <c r="E31" s="35">
        <v>30</v>
      </c>
      <c r="F31" s="35"/>
      <c r="G31" s="35"/>
      <c r="H31" s="35"/>
      <c r="I31" s="35"/>
      <c r="J31" s="35"/>
      <c r="K31" s="35"/>
      <c r="L31" s="35"/>
      <c r="M31" s="35"/>
    </row>
    <row r="32" spans="2:13" ht="24" customHeight="1">
      <c r="D32" s="91" t="s">
        <v>323</v>
      </c>
      <c r="E32" s="35">
        <v>31</v>
      </c>
      <c r="F32" t="s">
        <v>544</v>
      </c>
      <c r="G32" t="s">
        <v>467</v>
      </c>
      <c r="H32" t="s">
        <v>468</v>
      </c>
      <c r="I32" t="s">
        <v>469</v>
      </c>
      <c r="J32" t="s">
        <v>470</v>
      </c>
      <c r="K32" t="s">
        <v>471</v>
      </c>
    </row>
    <row r="33" spans="4:16" ht="81">
      <c r="D33" s="91" t="s">
        <v>324</v>
      </c>
      <c r="E33" s="35">
        <v>32</v>
      </c>
      <c r="F33" s="15" t="s">
        <v>601</v>
      </c>
      <c r="G33" s="15" t="s">
        <v>602</v>
      </c>
      <c r="H33" s="11" t="s">
        <v>603</v>
      </c>
      <c r="I33" s="15" t="s">
        <v>604</v>
      </c>
      <c r="J33" s="15" t="s">
        <v>605</v>
      </c>
      <c r="K33" s="15" t="s">
        <v>606</v>
      </c>
      <c r="L33" s="15" t="s">
        <v>607</v>
      </c>
      <c r="N33" s="22"/>
      <c r="O33" s="22"/>
      <c r="P33" s="22"/>
    </row>
    <row r="34" spans="4:16">
      <c r="D34" s="91" t="s">
        <v>511</v>
      </c>
      <c r="E34" s="35">
        <v>33</v>
      </c>
      <c r="F34" t="s">
        <v>511</v>
      </c>
    </row>
  </sheetData>
  <phoneticPr fontId="2" type="noConversion"/>
  <conditionalFormatting sqref="I19">
    <cfRule type="duplicateValues" dxfId="51" priority="1"/>
    <cfRule type="duplicateValues" dxfId="5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D5" sqref="D5"/>
    </sheetView>
  </sheetViews>
  <sheetFormatPr defaultRowHeight="13.5"/>
  <cols>
    <col min="1" max="2" width="9" style="23" customWidth="1"/>
    <col min="3" max="3" width="18.25" style="22" customWidth="1"/>
    <col min="4" max="4" width="38.25" style="22" customWidth="1"/>
    <col min="5" max="5" width="65.625" style="22" customWidth="1"/>
    <col min="6" max="6" width="9.75" style="22" bestFit="1" customWidth="1"/>
    <col min="7" max="7" width="15.875" style="22" customWidth="1"/>
    <col min="8" max="8" width="20.625" style="22" customWidth="1"/>
    <col min="9" max="9" width="14.25" style="22" customWidth="1"/>
    <col min="10" max="10" width="14.125" style="22" customWidth="1"/>
    <col min="11" max="11" width="28.5" style="22" customWidth="1"/>
    <col min="12" max="13" width="13" style="22" customWidth="1"/>
    <col min="14" max="14" width="15.625" style="23" customWidth="1"/>
    <col min="15" max="15" width="10.125" style="23" customWidth="1"/>
    <col min="16" max="16384" width="9" style="22"/>
  </cols>
  <sheetData>
    <row r="1" spans="1:16" ht="27">
      <c r="A1" s="37" t="s">
        <v>415</v>
      </c>
      <c r="B1" s="37"/>
      <c r="C1" s="3" t="s">
        <v>416</v>
      </c>
      <c r="D1" s="3"/>
      <c r="E1" s="37" t="s">
        <v>417</v>
      </c>
      <c r="F1" s="37" t="s">
        <v>458</v>
      </c>
      <c r="G1" s="37" t="s">
        <v>418</v>
      </c>
      <c r="H1" s="37" t="s">
        <v>419</v>
      </c>
      <c r="I1" s="37" t="s">
        <v>43</v>
      </c>
      <c r="J1" s="37" t="s">
        <v>44</v>
      </c>
      <c r="K1" s="37" t="s">
        <v>45</v>
      </c>
      <c r="L1" s="37" t="s">
        <v>46</v>
      </c>
      <c r="M1" s="37" t="s">
        <v>420</v>
      </c>
      <c r="N1" s="37" t="s">
        <v>421</v>
      </c>
      <c r="O1" s="38" t="s">
        <v>422</v>
      </c>
    </row>
    <row r="2" spans="1:16" ht="108">
      <c r="A2" s="23">
        <v>1</v>
      </c>
      <c r="C2" s="97" t="s">
        <v>423</v>
      </c>
      <c r="D2" s="97" t="s">
        <v>560</v>
      </c>
      <c r="E2" s="25" t="s">
        <v>558</v>
      </c>
      <c r="F2" s="25"/>
      <c r="G2" s="22" t="s">
        <v>424</v>
      </c>
      <c r="H2" s="22" t="s">
        <v>425</v>
      </c>
      <c r="M2" s="24" t="s">
        <v>433</v>
      </c>
      <c r="N2" s="23" t="s">
        <v>414</v>
      </c>
      <c r="O2" s="23" t="s">
        <v>414</v>
      </c>
    </row>
    <row r="3" spans="1:16" ht="33.75" customHeight="1">
      <c r="A3" s="23">
        <v>1</v>
      </c>
      <c r="C3" s="6" t="s">
        <v>325</v>
      </c>
      <c r="D3" s="6"/>
      <c r="E3" s="24" t="s">
        <v>553</v>
      </c>
      <c r="F3" s="24" t="s">
        <v>125</v>
      </c>
      <c r="G3" s="24" t="s">
        <v>326</v>
      </c>
      <c r="H3" s="24" t="s">
        <v>552</v>
      </c>
      <c r="M3" s="24" t="s">
        <v>429</v>
      </c>
      <c r="N3" s="23" t="s">
        <v>414</v>
      </c>
      <c r="O3" s="23" t="s">
        <v>414</v>
      </c>
    </row>
    <row r="4" spans="1:16" ht="40.5">
      <c r="A4" s="23">
        <v>1</v>
      </c>
      <c r="C4" s="6" t="s">
        <v>508</v>
      </c>
      <c r="D4" s="6"/>
      <c r="E4" s="22" t="s">
        <v>457</v>
      </c>
      <c r="G4" s="24" t="s">
        <v>327</v>
      </c>
      <c r="H4" s="24" t="s">
        <v>500</v>
      </c>
      <c r="I4" s="24" t="s">
        <v>368</v>
      </c>
      <c r="J4" s="24" t="s">
        <v>369</v>
      </c>
      <c r="K4" s="24" t="s">
        <v>499</v>
      </c>
      <c r="L4" s="22" t="s">
        <v>510</v>
      </c>
      <c r="M4" s="24"/>
      <c r="N4" s="23" t="s">
        <v>414</v>
      </c>
    </row>
    <row r="5" spans="1:16" ht="81">
      <c r="A5" s="23">
        <v>1</v>
      </c>
      <c r="B5" s="23" t="s">
        <v>489</v>
      </c>
      <c r="C5" s="96" t="s">
        <v>370</v>
      </c>
      <c r="D5" s="96" t="s">
        <v>567</v>
      </c>
      <c r="E5" s="25" t="s">
        <v>572</v>
      </c>
      <c r="F5" s="24" t="s">
        <v>125</v>
      </c>
      <c r="G5" s="24" t="s">
        <v>371</v>
      </c>
      <c r="H5" s="24" t="s">
        <v>491</v>
      </c>
      <c r="I5" s="24"/>
      <c r="M5" s="24" t="s">
        <v>431</v>
      </c>
      <c r="N5" s="23" t="s">
        <v>414</v>
      </c>
      <c r="O5" s="23" t="s">
        <v>414</v>
      </c>
    </row>
    <row r="6" spans="1:16" ht="47.25" customHeight="1">
      <c r="A6" s="23">
        <v>1</v>
      </c>
      <c r="C6" s="7" t="s">
        <v>329</v>
      </c>
      <c r="D6" s="96" t="s">
        <v>568</v>
      </c>
      <c r="E6" s="24" t="s">
        <v>571</v>
      </c>
      <c r="F6" s="24" t="s">
        <v>125</v>
      </c>
      <c r="G6" s="24" t="s">
        <v>326</v>
      </c>
      <c r="M6" s="24" t="s">
        <v>430</v>
      </c>
      <c r="N6" s="23" t="s">
        <v>414</v>
      </c>
      <c r="O6" s="23" t="s">
        <v>414</v>
      </c>
    </row>
    <row r="7" spans="1:16" ht="54">
      <c r="A7" s="23">
        <v>1</v>
      </c>
      <c r="B7" s="23" t="s">
        <v>489</v>
      </c>
      <c r="C7" s="7" t="s">
        <v>478</v>
      </c>
      <c r="D7" s="96" t="s">
        <v>569</v>
      </c>
      <c r="E7" s="25" t="s">
        <v>330</v>
      </c>
      <c r="F7" s="24" t="s">
        <v>125</v>
      </c>
      <c r="G7" s="24" t="s">
        <v>331</v>
      </c>
      <c r="H7" s="22" t="s">
        <v>332</v>
      </c>
      <c r="I7" s="24" t="s">
        <v>344</v>
      </c>
      <c r="M7" s="24" t="s">
        <v>429</v>
      </c>
      <c r="N7" s="23" t="s">
        <v>414</v>
      </c>
      <c r="O7" s="23" t="s">
        <v>414</v>
      </c>
    </row>
    <row r="8" spans="1:16" ht="121.5">
      <c r="A8" s="23">
        <v>1</v>
      </c>
      <c r="B8" s="23" t="s">
        <v>488</v>
      </c>
      <c r="C8" s="7" t="s">
        <v>333</v>
      </c>
      <c r="D8" s="96" t="s">
        <v>567</v>
      </c>
      <c r="E8" s="25" t="s">
        <v>559</v>
      </c>
      <c r="F8" s="24" t="s">
        <v>459</v>
      </c>
      <c r="G8" s="24" t="s">
        <v>480</v>
      </c>
      <c r="H8" s="22" t="s">
        <v>335</v>
      </c>
      <c r="I8" s="22" t="s">
        <v>479</v>
      </c>
      <c r="J8" s="24" t="s">
        <v>337</v>
      </c>
      <c r="K8" s="24" t="s">
        <v>481</v>
      </c>
      <c r="L8" s="24" t="s">
        <v>482</v>
      </c>
      <c r="M8" s="24" t="s">
        <v>434</v>
      </c>
      <c r="N8" s="23" t="s">
        <v>414</v>
      </c>
      <c r="O8" s="23" t="s">
        <v>414</v>
      </c>
    </row>
    <row r="9" spans="1:16" ht="81">
      <c r="A9" s="23">
        <v>1</v>
      </c>
      <c r="B9" s="23" t="s">
        <v>488</v>
      </c>
      <c r="C9" s="7" t="s">
        <v>338</v>
      </c>
      <c r="D9" s="96" t="s">
        <v>561</v>
      </c>
      <c r="E9" s="25" t="s">
        <v>490</v>
      </c>
      <c r="F9" s="24" t="s">
        <v>459</v>
      </c>
      <c r="G9" s="24" t="s">
        <v>334</v>
      </c>
      <c r="H9" s="22" t="s">
        <v>446</v>
      </c>
      <c r="I9" s="22" t="s">
        <v>336</v>
      </c>
      <c r="J9" s="24" t="s">
        <v>337</v>
      </c>
      <c r="K9" s="24" t="s">
        <v>372</v>
      </c>
      <c r="L9" s="24" t="s">
        <v>373</v>
      </c>
      <c r="M9" s="24" t="s">
        <v>431</v>
      </c>
      <c r="N9" s="23" t="s">
        <v>414</v>
      </c>
      <c r="O9" s="23" t="s">
        <v>414</v>
      </c>
    </row>
    <row r="10" spans="1:16" ht="67.5">
      <c r="A10" s="23">
        <v>3</v>
      </c>
      <c r="C10" s="7" t="s">
        <v>339</v>
      </c>
      <c r="D10" s="7"/>
      <c r="E10" s="24" t="s">
        <v>340</v>
      </c>
      <c r="F10" s="24" t="s">
        <v>459</v>
      </c>
      <c r="G10" s="24" t="s">
        <v>331</v>
      </c>
      <c r="H10" s="22" t="s">
        <v>341</v>
      </c>
      <c r="I10" s="22" t="s">
        <v>342</v>
      </c>
      <c r="M10" s="24" t="s">
        <v>430</v>
      </c>
      <c r="N10" s="23" t="s">
        <v>414</v>
      </c>
      <c r="O10" s="23" t="s">
        <v>414</v>
      </c>
    </row>
    <row r="11" spans="1:16" ht="40.5">
      <c r="A11" s="23">
        <v>1</v>
      </c>
      <c r="C11" s="7" t="s">
        <v>447</v>
      </c>
      <c r="D11" s="7"/>
      <c r="E11" s="24" t="s">
        <v>460</v>
      </c>
      <c r="F11" s="24" t="s">
        <v>459</v>
      </c>
      <c r="G11" s="24" t="s">
        <v>331</v>
      </c>
      <c r="H11" s="24" t="s">
        <v>343</v>
      </c>
      <c r="I11" s="24" t="s">
        <v>344</v>
      </c>
      <c r="M11" s="24" t="s">
        <v>435</v>
      </c>
    </row>
    <row r="12" spans="1:16" ht="27">
      <c r="A12" s="23">
        <v>3</v>
      </c>
      <c r="C12" s="7" t="s">
        <v>345</v>
      </c>
      <c r="D12" s="7"/>
      <c r="E12" s="24" t="s">
        <v>374</v>
      </c>
      <c r="F12" s="24"/>
      <c r="G12" s="24" t="s">
        <v>344</v>
      </c>
      <c r="H12" s="22" t="s">
        <v>375</v>
      </c>
      <c r="I12" s="22" t="s">
        <v>376</v>
      </c>
      <c r="J12" s="22" t="s">
        <v>377</v>
      </c>
      <c r="L12" s="31"/>
      <c r="M12" s="24" t="s">
        <v>432</v>
      </c>
      <c r="N12" s="23" t="s">
        <v>414</v>
      </c>
      <c r="O12" s="23" t="s">
        <v>414</v>
      </c>
    </row>
    <row r="13" spans="1:16" s="29" customFormat="1" ht="162">
      <c r="A13" s="26">
        <v>2</v>
      </c>
      <c r="B13" s="26"/>
      <c r="C13" s="27" t="s">
        <v>346</v>
      </c>
      <c r="D13" s="27"/>
      <c r="E13" s="39" t="s">
        <v>570</v>
      </c>
      <c r="F13" s="39"/>
      <c r="G13" s="28" t="s">
        <v>347</v>
      </c>
      <c r="H13" s="28" t="s">
        <v>348</v>
      </c>
      <c r="I13" s="28" t="s">
        <v>349</v>
      </c>
      <c r="J13" s="29" t="s">
        <v>350</v>
      </c>
      <c r="M13" s="28" t="s">
        <v>445</v>
      </c>
      <c r="N13" s="30" t="s">
        <v>351</v>
      </c>
      <c r="O13" s="32" t="s">
        <v>352</v>
      </c>
      <c r="P13" s="28"/>
    </row>
    <row r="14" spans="1:16" ht="120" customHeight="1">
      <c r="A14" s="23">
        <v>1</v>
      </c>
      <c r="C14" s="7" t="s">
        <v>378</v>
      </c>
      <c r="D14" s="7"/>
      <c r="F14" s="24" t="s">
        <v>459</v>
      </c>
      <c r="G14" s="22" t="s">
        <v>448</v>
      </c>
      <c r="H14" s="24" t="s">
        <v>379</v>
      </c>
      <c r="I14" s="24" t="s">
        <v>380</v>
      </c>
      <c r="J14" s="24" t="s">
        <v>381</v>
      </c>
      <c r="K14" s="24" t="s">
        <v>382</v>
      </c>
      <c r="L14" s="24" t="s">
        <v>383</v>
      </c>
      <c r="M14" s="24" t="s">
        <v>518</v>
      </c>
    </row>
    <row r="15" spans="1:16" ht="40.5">
      <c r="A15" s="23">
        <v>2</v>
      </c>
      <c r="C15" s="7" t="s">
        <v>384</v>
      </c>
      <c r="D15" s="7"/>
      <c r="E15" s="24" t="s">
        <v>385</v>
      </c>
      <c r="F15" s="24"/>
      <c r="G15" s="24" t="s">
        <v>386</v>
      </c>
      <c r="M15" s="24" t="s">
        <v>435</v>
      </c>
    </row>
    <row r="16" spans="1:16" ht="40.5">
      <c r="A16" s="23">
        <v>3</v>
      </c>
      <c r="C16" s="7" t="s">
        <v>387</v>
      </c>
      <c r="D16" s="7"/>
      <c r="E16" s="22" t="s">
        <v>388</v>
      </c>
      <c r="G16" s="33" t="s">
        <v>389</v>
      </c>
      <c r="H16" s="22" t="s">
        <v>390</v>
      </c>
      <c r="I16" s="24" t="s">
        <v>391</v>
      </c>
      <c r="M16" s="24" t="s">
        <v>435</v>
      </c>
      <c r="N16" s="23" t="s">
        <v>414</v>
      </c>
      <c r="O16" s="23" t="s">
        <v>414</v>
      </c>
    </row>
    <row r="17" spans="1:15" ht="54">
      <c r="A17" s="23">
        <v>2</v>
      </c>
      <c r="C17" s="7" t="s">
        <v>353</v>
      </c>
      <c r="D17" s="7"/>
      <c r="E17" s="24" t="s">
        <v>354</v>
      </c>
      <c r="F17" s="24"/>
      <c r="G17" s="24" t="s">
        <v>355</v>
      </c>
      <c r="H17" s="24" t="s">
        <v>356</v>
      </c>
      <c r="I17" s="24" t="s">
        <v>328</v>
      </c>
      <c r="J17" s="22" t="s">
        <v>357</v>
      </c>
      <c r="K17" s="24" t="s">
        <v>358</v>
      </c>
      <c r="L17" s="24" t="s">
        <v>359</v>
      </c>
      <c r="N17" s="23" t="s">
        <v>414</v>
      </c>
    </row>
    <row r="18" spans="1:15" ht="108">
      <c r="A18" s="23">
        <v>2</v>
      </c>
      <c r="C18" s="7" t="s">
        <v>392</v>
      </c>
      <c r="D18" s="7"/>
      <c r="E18" s="24" t="s">
        <v>449</v>
      </c>
      <c r="F18" s="24" t="s">
        <v>461</v>
      </c>
      <c r="G18" s="24" t="s">
        <v>393</v>
      </c>
      <c r="H18" s="24" t="s">
        <v>450</v>
      </c>
      <c r="I18" s="24" t="s">
        <v>451</v>
      </c>
      <c r="J18" s="24" t="s">
        <v>394</v>
      </c>
      <c r="K18" s="22" t="s">
        <v>395</v>
      </c>
      <c r="L18" s="22" t="s">
        <v>396</v>
      </c>
      <c r="M18" s="22" t="s">
        <v>397</v>
      </c>
      <c r="N18" s="34"/>
    </row>
    <row r="19" spans="1:15" ht="67.5">
      <c r="A19" s="23">
        <v>2</v>
      </c>
      <c r="C19" s="7" t="s">
        <v>398</v>
      </c>
      <c r="D19" s="7"/>
      <c r="E19" s="24" t="s">
        <v>399</v>
      </c>
      <c r="F19" s="24"/>
      <c r="G19" s="24" t="s">
        <v>400</v>
      </c>
      <c r="H19" s="22" t="s">
        <v>401</v>
      </c>
      <c r="I19" s="24" t="s">
        <v>454</v>
      </c>
      <c r="J19" s="24" t="s">
        <v>402</v>
      </c>
      <c r="K19" s="24" t="s">
        <v>403</v>
      </c>
      <c r="N19" s="23" t="s">
        <v>414</v>
      </c>
    </row>
    <row r="20" spans="1:15" ht="54">
      <c r="A20" s="23">
        <v>3</v>
      </c>
      <c r="C20" s="7" t="s">
        <v>360</v>
      </c>
      <c r="D20" s="7"/>
      <c r="E20" s="25" t="s">
        <v>361</v>
      </c>
      <c r="F20" s="25"/>
      <c r="G20" s="33" t="s">
        <v>455</v>
      </c>
      <c r="H20" s="22" t="s">
        <v>452</v>
      </c>
      <c r="M20" s="24" t="s">
        <v>429</v>
      </c>
      <c r="N20" s="23" t="s">
        <v>414</v>
      </c>
      <c r="O20" s="23" t="s">
        <v>414</v>
      </c>
    </row>
    <row r="21" spans="1:15" ht="54">
      <c r="A21" s="23">
        <v>3</v>
      </c>
      <c r="C21" s="7" t="s">
        <v>362</v>
      </c>
      <c r="D21" s="7"/>
      <c r="E21" s="25" t="s">
        <v>363</v>
      </c>
      <c r="F21" s="25"/>
      <c r="G21" s="33" t="s">
        <v>364</v>
      </c>
      <c r="H21" s="22" t="s">
        <v>453</v>
      </c>
      <c r="M21" s="24" t="s">
        <v>429</v>
      </c>
      <c r="N21" s="23" t="s">
        <v>414</v>
      </c>
      <c r="O21" s="23" t="s">
        <v>414</v>
      </c>
    </row>
    <row r="22" spans="1:15">
      <c r="A22" s="23">
        <v>3</v>
      </c>
      <c r="C22" s="7" t="s">
        <v>426</v>
      </c>
      <c r="D22" s="7"/>
      <c r="E22" s="22" t="s">
        <v>366</v>
      </c>
    </row>
    <row r="23" spans="1:15" ht="27">
      <c r="A23" s="23">
        <v>3</v>
      </c>
      <c r="C23" s="7" t="s">
        <v>427</v>
      </c>
      <c r="D23" s="7"/>
      <c r="E23" s="24" t="s">
        <v>428</v>
      </c>
      <c r="F23" s="24"/>
    </row>
    <row r="24" spans="1:15">
      <c r="A24" s="23">
        <v>3</v>
      </c>
      <c r="C24" s="7" t="s">
        <v>365</v>
      </c>
      <c r="D24" s="7"/>
      <c r="E24" s="22" t="s">
        <v>366</v>
      </c>
    </row>
    <row r="25" spans="1:15" ht="54">
      <c r="A25" s="23">
        <v>3</v>
      </c>
      <c r="C25" s="7" t="s">
        <v>367</v>
      </c>
      <c r="D25" s="7"/>
      <c r="E25" s="24" t="s">
        <v>438</v>
      </c>
      <c r="F25" s="24" t="s">
        <v>459</v>
      </c>
      <c r="G25" s="24" t="s">
        <v>436</v>
      </c>
      <c r="H25" s="24" t="s">
        <v>437</v>
      </c>
      <c r="N25" s="34"/>
    </row>
    <row r="26" spans="1:15" ht="54">
      <c r="A26" s="23">
        <v>3</v>
      </c>
      <c r="C26" s="7" t="s">
        <v>411</v>
      </c>
      <c r="D26" s="7"/>
      <c r="E26" s="24" t="s">
        <v>439</v>
      </c>
      <c r="F26" s="24"/>
      <c r="G26" s="24" t="s">
        <v>412</v>
      </c>
      <c r="H26" s="24" t="s">
        <v>413</v>
      </c>
      <c r="N26" s="23" t="s">
        <v>414</v>
      </c>
      <c r="O26" s="23" t="s">
        <v>414</v>
      </c>
    </row>
    <row r="27" spans="1:15" ht="40.5">
      <c r="A27" s="23">
        <v>3</v>
      </c>
      <c r="C27" s="7" t="s">
        <v>404</v>
      </c>
      <c r="D27" s="7"/>
      <c r="E27" s="24" t="s">
        <v>440</v>
      </c>
      <c r="F27" s="24"/>
      <c r="G27" s="24" t="s">
        <v>405</v>
      </c>
      <c r="H27" s="24" t="s">
        <v>441</v>
      </c>
    </row>
    <row r="28" spans="1:15">
      <c r="A28" s="23">
        <v>3</v>
      </c>
      <c r="C28" s="7" t="s">
        <v>406</v>
      </c>
      <c r="D28" s="7"/>
      <c r="E28" s="22" t="s">
        <v>442</v>
      </c>
      <c r="F28" s="24" t="s">
        <v>459</v>
      </c>
    </row>
    <row r="29" spans="1:15">
      <c r="A29" s="23">
        <v>4</v>
      </c>
      <c r="C29" s="7" t="s">
        <v>407</v>
      </c>
      <c r="D29" s="7"/>
      <c r="E29" s="22" t="s">
        <v>443</v>
      </c>
      <c r="G29" s="22" t="s">
        <v>408</v>
      </c>
      <c r="H29" s="22" t="s">
        <v>409</v>
      </c>
      <c r="I29" s="22" t="s">
        <v>410</v>
      </c>
      <c r="N29" s="23" t="s">
        <v>414</v>
      </c>
      <c r="O29" s="23" t="s">
        <v>414</v>
      </c>
    </row>
    <row r="30" spans="1:15" ht="27">
      <c r="C30" s="6" t="s">
        <v>462</v>
      </c>
      <c r="D30" s="6"/>
      <c r="E30" s="24" t="s">
        <v>444</v>
      </c>
      <c r="F30" s="24"/>
      <c r="G30" s="24"/>
      <c r="N30" s="23" t="s">
        <v>414</v>
      </c>
      <c r="O30" s="23" t="s">
        <v>414</v>
      </c>
    </row>
    <row r="31" spans="1:15">
      <c r="C31" s="7"/>
      <c r="D31" s="7"/>
      <c r="E31" s="24"/>
      <c r="F31" s="24"/>
      <c r="G31" s="24"/>
    </row>
    <row r="36" spans="3:6">
      <c r="C36" s="22" t="s">
        <v>212</v>
      </c>
      <c r="E36" s="22" t="s">
        <v>213</v>
      </c>
    </row>
    <row r="37" spans="3:6">
      <c r="E37" s="22" t="s">
        <v>214</v>
      </c>
    </row>
    <row r="38" spans="3:6" ht="27">
      <c r="E38" s="24" t="s">
        <v>456</v>
      </c>
      <c r="F38" s="24"/>
    </row>
  </sheetData>
  <autoFilter ref="A1:A38"/>
  <phoneticPr fontId="2" type="noConversion"/>
  <conditionalFormatting sqref="A31:B1048576 A4:B5">
    <cfRule type="cellIs" dxfId="49" priority="51" operator="equal">
      <formula>3</formula>
    </cfRule>
    <cfRule type="cellIs" dxfId="48" priority="52" operator="equal">
      <formula>1</formula>
    </cfRule>
    <cfRule type="cellIs" dxfId="47" priority="53" operator="equal">
      <formula>2</formula>
    </cfRule>
    <cfRule type="cellIs" dxfId="46" priority="54" operator="equal">
      <formula>1</formula>
    </cfRule>
  </conditionalFormatting>
  <conditionalFormatting sqref="A1:B2 A7:B8 A25:B30 A10:B23">
    <cfRule type="cellIs" dxfId="45" priority="23" operator="equal">
      <formula>3</formula>
    </cfRule>
    <cfRule type="cellIs" dxfId="44" priority="24" operator="equal">
      <formula>1</formula>
    </cfRule>
    <cfRule type="cellIs" dxfId="43" priority="25" operator="equal">
      <formula>2</formula>
    </cfRule>
    <cfRule type="cellIs" dxfId="42" priority="26" operator="equal">
      <formula>1</formula>
    </cfRule>
  </conditionalFormatting>
  <conditionalFormatting sqref="A24:B24">
    <cfRule type="cellIs" dxfId="41" priority="19" operator="equal">
      <formula>3</formula>
    </cfRule>
    <cfRule type="cellIs" dxfId="40" priority="20" operator="equal">
      <formula>1</formula>
    </cfRule>
    <cfRule type="cellIs" dxfId="39" priority="21" operator="equal">
      <formula>2</formula>
    </cfRule>
    <cfRule type="cellIs" dxfId="38" priority="22" operator="equal">
      <formula>1</formula>
    </cfRule>
  </conditionalFormatting>
  <conditionalFormatting sqref="A3:B3">
    <cfRule type="cellIs" dxfId="37" priority="15" operator="equal">
      <formula>3</formula>
    </cfRule>
    <cfRule type="cellIs" dxfId="36" priority="16" operator="equal">
      <formula>1</formula>
    </cfRule>
    <cfRule type="cellIs" dxfId="35" priority="17" operator="equal">
      <formula>2</formula>
    </cfRule>
    <cfRule type="cellIs" dxfId="34" priority="18" operator="equal">
      <formula>1</formula>
    </cfRule>
  </conditionalFormatting>
  <conditionalFormatting sqref="A6:B6">
    <cfRule type="cellIs" dxfId="33" priority="11" operator="equal">
      <formula>3</formula>
    </cfRule>
    <cfRule type="cellIs" dxfId="32" priority="12" operator="equal">
      <formula>1</formula>
    </cfRule>
    <cfRule type="cellIs" dxfId="31" priority="13" operator="equal">
      <formula>2</formula>
    </cfRule>
    <cfRule type="cellIs" dxfId="30" priority="14" operator="equal">
      <formula>1</formula>
    </cfRule>
  </conditionalFormatting>
  <conditionalFormatting sqref="A9:B9">
    <cfRule type="cellIs" dxfId="29" priority="7" operator="equal">
      <formula>3</formula>
    </cfRule>
    <cfRule type="cellIs" dxfId="28" priority="8" operator="equal">
      <formula>1</formula>
    </cfRule>
    <cfRule type="cellIs" dxfId="27" priority="9" operator="equal">
      <formula>2</formula>
    </cfRule>
    <cfRule type="cellIs" dxfId="26" priority="10" operator="equal">
      <formula>1</formula>
    </cfRule>
  </conditionalFormatting>
  <conditionalFormatting sqref="J18:K18">
    <cfRule type="duplicateValues" dxfId="25" priority="5"/>
    <cfRule type="duplicateValues" dxfId="24" priority="6"/>
  </conditionalFormatting>
  <conditionalFormatting sqref="L18">
    <cfRule type="duplicateValues" dxfId="23" priority="3"/>
    <cfRule type="duplicateValues" dxfId="22" priority="4"/>
  </conditionalFormatting>
  <conditionalFormatting sqref="M18">
    <cfRule type="duplicateValues" dxfId="21" priority="1"/>
    <cfRule type="duplicateValues" dxfId="2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2"/>
  <sheetViews>
    <sheetView workbookViewId="0">
      <selection activeCell="D16" sqref="D16"/>
    </sheetView>
  </sheetViews>
  <sheetFormatPr defaultRowHeight="13.5"/>
  <cols>
    <col min="1" max="1" width="16.5" customWidth="1"/>
    <col min="2" max="2" width="14.625" customWidth="1"/>
    <col min="3" max="3" width="16.625" bestFit="1" customWidth="1"/>
    <col min="4" max="4" width="65" bestFit="1" customWidth="1"/>
    <col min="5" max="5" width="26.75" customWidth="1"/>
    <col min="6" max="6" width="16" customWidth="1"/>
    <col min="7" max="7" width="15.25" bestFit="1" customWidth="1"/>
    <col min="8" max="8" width="14.875" customWidth="1"/>
    <col min="10" max="10" width="16.375" customWidth="1"/>
    <col min="11" max="11" width="6.875" bestFit="1" customWidth="1"/>
    <col min="12" max="12" width="14.125" bestFit="1" customWidth="1"/>
    <col min="13" max="13" width="11.875" bestFit="1" customWidth="1"/>
  </cols>
  <sheetData>
    <row r="2" spans="1:14">
      <c r="C2" s="4" t="s">
        <v>122</v>
      </c>
      <c r="D2" s="3" t="s">
        <v>40</v>
      </c>
      <c r="E2" s="4" t="s">
        <v>41</v>
      </c>
      <c r="F2" s="4" t="s">
        <v>42</v>
      </c>
      <c r="G2" s="4" t="s">
        <v>123</v>
      </c>
      <c r="H2" s="4" t="s">
        <v>43</v>
      </c>
      <c r="I2" s="4" t="s">
        <v>44</v>
      </c>
      <c r="J2" s="4" t="s">
        <v>45</v>
      </c>
      <c r="K2" s="4" t="s">
        <v>46</v>
      </c>
      <c r="L2" s="4" t="s">
        <v>47</v>
      </c>
      <c r="M2" s="4" t="s">
        <v>124</v>
      </c>
      <c r="N2" s="5" t="s">
        <v>48</v>
      </c>
    </row>
    <row r="3" spans="1:14" s="8" customFormat="1" ht="54">
      <c r="A3" s="8" t="s">
        <v>211</v>
      </c>
      <c r="C3" s="9">
        <v>1</v>
      </c>
      <c r="D3" s="10" t="s">
        <v>49</v>
      </c>
      <c r="E3" s="11" t="s">
        <v>203</v>
      </c>
      <c r="F3" s="12" t="s">
        <v>201</v>
      </c>
      <c r="G3" s="13" t="s">
        <v>202</v>
      </c>
      <c r="H3" s="14"/>
      <c r="I3" s="14"/>
      <c r="J3" s="14"/>
      <c r="K3" s="14"/>
      <c r="L3" s="14"/>
      <c r="M3" s="9" t="s">
        <v>125</v>
      </c>
      <c r="N3" s="9" t="s">
        <v>125</v>
      </c>
    </row>
    <row r="4" spans="1:14" s="8" customFormat="1" ht="40.5">
      <c r="B4" s="8" t="s">
        <v>210</v>
      </c>
      <c r="C4" s="9">
        <v>1</v>
      </c>
      <c r="D4" s="10" t="s">
        <v>126</v>
      </c>
      <c r="E4" s="11" t="s">
        <v>50</v>
      </c>
      <c r="F4" s="15" t="s">
        <v>127</v>
      </c>
      <c r="G4" s="15" t="s">
        <v>128</v>
      </c>
      <c r="H4" s="14"/>
      <c r="I4" s="14"/>
      <c r="J4" s="14"/>
      <c r="K4" s="14"/>
      <c r="L4" s="14"/>
      <c r="M4" s="9" t="s">
        <v>125</v>
      </c>
      <c r="N4" s="9" t="s">
        <v>125</v>
      </c>
    </row>
    <row r="5" spans="1:14" s="8" customFormat="1" ht="40.5">
      <c r="B5" s="8" t="s">
        <v>210</v>
      </c>
      <c r="C5" s="9">
        <v>1</v>
      </c>
      <c r="D5" s="10" t="s">
        <v>129</v>
      </c>
      <c r="E5" s="11" t="s">
        <v>130</v>
      </c>
      <c r="F5" s="14" t="s">
        <v>131</v>
      </c>
      <c r="G5" s="15" t="s">
        <v>132</v>
      </c>
      <c r="H5" s="14" t="s">
        <v>133</v>
      </c>
      <c r="I5" s="15" t="s">
        <v>134</v>
      </c>
      <c r="J5" s="15" t="s">
        <v>135</v>
      </c>
      <c r="K5" s="14"/>
      <c r="L5" s="14"/>
      <c r="M5" s="9"/>
      <c r="N5" s="9"/>
    </row>
    <row r="6" spans="1:14" s="8" customFormat="1" ht="27">
      <c r="B6" s="8" t="s">
        <v>210</v>
      </c>
      <c r="C6" s="9">
        <v>1</v>
      </c>
      <c r="D6" s="10" t="s">
        <v>136</v>
      </c>
      <c r="E6" s="11" t="s">
        <v>51</v>
      </c>
      <c r="F6" s="14" t="s">
        <v>137</v>
      </c>
      <c r="G6" s="15" t="s">
        <v>138</v>
      </c>
      <c r="H6" s="14" t="s">
        <v>139</v>
      </c>
      <c r="I6" s="15" t="s">
        <v>138</v>
      </c>
      <c r="J6" s="14"/>
      <c r="K6" s="14"/>
      <c r="L6" s="14"/>
      <c r="M6" s="9"/>
      <c r="N6" s="9"/>
    </row>
    <row r="7" spans="1:14" s="8" customFormat="1" ht="27">
      <c r="B7" s="8" t="s">
        <v>210</v>
      </c>
      <c r="C7" s="9">
        <v>1</v>
      </c>
      <c r="D7" s="16" t="s">
        <v>140</v>
      </c>
      <c r="E7" s="11" t="s">
        <v>52</v>
      </c>
      <c r="F7" s="15" t="s">
        <v>141</v>
      </c>
      <c r="G7" s="12"/>
      <c r="H7" s="14"/>
      <c r="I7" s="14"/>
      <c r="J7" s="14"/>
      <c r="K7" s="14"/>
      <c r="L7" s="14"/>
      <c r="M7" s="9" t="s">
        <v>125</v>
      </c>
      <c r="N7" s="9" t="s">
        <v>125</v>
      </c>
    </row>
    <row r="8" spans="1:14" s="8" customFormat="1" ht="27">
      <c r="B8" s="8" t="s">
        <v>210</v>
      </c>
      <c r="C8" s="9">
        <v>1</v>
      </c>
      <c r="D8" s="16" t="s">
        <v>142</v>
      </c>
      <c r="E8" s="11" t="s">
        <v>53</v>
      </c>
      <c r="F8" s="15" t="s">
        <v>127</v>
      </c>
      <c r="G8" s="12"/>
      <c r="H8" s="14"/>
      <c r="I8" s="14"/>
      <c r="J8" s="14"/>
      <c r="K8" s="14"/>
      <c r="L8" s="14"/>
      <c r="M8" s="9" t="s">
        <v>125</v>
      </c>
      <c r="N8" s="9" t="s">
        <v>125</v>
      </c>
    </row>
    <row r="9" spans="1:14" s="8" customFormat="1" ht="40.5">
      <c r="B9" s="8" t="s">
        <v>210</v>
      </c>
      <c r="C9" s="9">
        <v>1</v>
      </c>
      <c r="D9" s="16" t="s">
        <v>143</v>
      </c>
      <c r="E9" s="11" t="s">
        <v>54</v>
      </c>
      <c r="F9" s="15" t="s">
        <v>538</v>
      </c>
      <c r="G9" s="14" t="s">
        <v>541</v>
      </c>
      <c r="H9" s="15" t="s">
        <v>144</v>
      </c>
      <c r="I9" s="14"/>
      <c r="J9" s="14"/>
      <c r="K9" s="14"/>
      <c r="L9" s="14"/>
      <c r="M9" s="9" t="s">
        <v>125</v>
      </c>
      <c r="N9" s="9" t="s">
        <v>125</v>
      </c>
    </row>
    <row r="10" spans="1:14" s="8" customFormat="1" ht="38.25" customHeight="1">
      <c r="A10" s="8" t="s">
        <v>211</v>
      </c>
      <c r="C10" s="9">
        <v>1</v>
      </c>
      <c r="D10" s="16" t="s">
        <v>145</v>
      </c>
      <c r="E10" s="11" t="s">
        <v>204</v>
      </c>
      <c r="F10" s="15" t="s">
        <v>538</v>
      </c>
      <c r="G10" s="14" t="s">
        <v>535</v>
      </c>
      <c r="H10" s="14" t="s">
        <v>539</v>
      </c>
      <c r="I10" s="15" t="s">
        <v>146</v>
      </c>
      <c r="J10" s="15" t="s">
        <v>147</v>
      </c>
      <c r="K10" s="14"/>
      <c r="L10" s="14"/>
      <c r="M10" s="9" t="s">
        <v>125</v>
      </c>
      <c r="N10" s="9" t="s">
        <v>125</v>
      </c>
    </row>
    <row r="11" spans="1:14" s="8" customFormat="1" ht="81">
      <c r="A11" s="8" t="s">
        <v>211</v>
      </c>
      <c r="C11" s="9">
        <v>1</v>
      </c>
      <c r="D11" s="16" t="s">
        <v>56</v>
      </c>
      <c r="E11" s="11" t="s">
        <v>57</v>
      </c>
      <c r="F11" s="15" t="s">
        <v>537</v>
      </c>
      <c r="G11" s="14" t="s">
        <v>535</v>
      </c>
      <c r="H11" s="14" t="s">
        <v>539</v>
      </c>
      <c r="I11" s="15" t="s">
        <v>55</v>
      </c>
      <c r="J11" s="15" t="s">
        <v>148</v>
      </c>
      <c r="K11" s="14"/>
      <c r="L11" s="14"/>
      <c r="M11" s="9" t="s">
        <v>149</v>
      </c>
      <c r="N11" s="9" t="s">
        <v>149</v>
      </c>
    </row>
    <row r="12" spans="1:14" s="8" customFormat="1">
      <c r="C12" s="9">
        <v>3</v>
      </c>
      <c r="D12" s="16" t="s">
        <v>150</v>
      </c>
      <c r="E12" s="11" t="s">
        <v>58</v>
      </c>
      <c r="F12" s="15" t="s">
        <v>537</v>
      </c>
      <c r="G12" s="14" t="s">
        <v>151</v>
      </c>
      <c r="H12" s="14"/>
      <c r="I12" s="14"/>
      <c r="J12" s="14"/>
      <c r="K12" s="14"/>
      <c r="L12" s="14"/>
      <c r="M12" s="9" t="s">
        <v>149</v>
      </c>
      <c r="N12" s="9" t="s">
        <v>149</v>
      </c>
    </row>
    <row r="13" spans="1:14" s="8" customFormat="1" ht="27">
      <c r="B13" s="8" t="s">
        <v>210</v>
      </c>
      <c r="C13" s="9">
        <v>1</v>
      </c>
      <c r="D13" s="16" t="s">
        <v>152</v>
      </c>
      <c r="E13" s="11" t="s">
        <v>59</v>
      </c>
      <c r="F13" s="15" t="s">
        <v>537</v>
      </c>
      <c r="G13" s="14" t="s">
        <v>539</v>
      </c>
      <c r="H13" s="15" t="s">
        <v>144</v>
      </c>
      <c r="I13" s="14"/>
      <c r="J13" s="14"/>
      <c r="K13" s="14"/>
      <c r="L13" s="14"/>
      <c r="M13" s="9"/>
      <c r="N13" s="9"/>
    </row>
    <row r="14" spans="1:14" s="8" customFormat="1" ht="27">
      <c r="B14" s="8" t="s">
        <v>210</v>
      </c>
      <c r="C14" s="9">
        <v>3</v>
      </c>
      <c r="D14" s="16" t="s">
        <v>153</v>
      </c>
      <c r="E14" s="11" t="s">
        <v>60</v>
      </c>
      <c r="F14" s="15"/>
      <c r="G14" s="14"/>
      <c r="H14" s="14"/>
      <c r="I14" s="14"/>
      <c r="J14" s="14"/>
      <c r="K14" s="14"/>
      <c r="L14" s="14"/>
      <c r="M14" s="9" t="s">
        <v>149</v>
      </c>
      <c r="N14" s="9" t="s">
        <v>149</v>
      </c>
    </row>
    <row r="15" spans="1:14" s="8" customFormat="1" ht="27">
      <c r="A15" s="8" t="s">
        <v>211</v>
      </c>
      <c r="C15" s="9">
        <v>2</v>
      </c>
      <c r="D15" s="16" t="s">
        <v>154</v>
      </c>
      <c r="E15" s="11" t="s">
        <v>58</v>
      </c>
      <c r="F15" s="17" t="s">
        <v>155</v>
      </c>
      <c r="G15" s="14" t="s">
        <v>156</v>
      </c>
      <c r="H15" s="15" t="s">
        <v>157</v>
      </c>
      <c r="I15" s="14"/>
      <c r="J15" s="14"/>
      <c r="K15" s="14"/>
      <c r="L15" s="14"/>
      <c r="M15" s="9" t="s">
        <v>149</v>
      </c>
      <c r="N15" s="9" t="s">
        <v>149</v>
      </c>
    </row>
    <row r="16" spans="1:14" s="8" customFormat="1" ht="40.5">
      <c r="B16" s="8" t="s">
        <v>210</v>
      </c>
      <c r="C16" s="9">
        <v>2</v>
      </c>
      <c r="D16" s="16" t="s">
        <v>158</v>
      </c>
      <c r="E16" s="11" t="s">
        <v>61</v>
      </c>
      <c r="F16" s="15" t="s">
        <v>131</v>
      </c>
      <c r="G16" s="15" t="s">
        <v>132</v>
      </c>
      <c r="H16" s="14" t="s">
        <v>159</v>
      </c>
      <c r="I16" s="14"/>
      <c r="J16" s="14"/>
      <c r="K16" s="14"/>
      <c r="L16" s="14"/>
      <c r="M16" s="9" t="s">
        <v>149</v>
      </c>
      <c r="N16" s="9"/>
    </row>
    <row r="17" spans="1:14" s="8" customFormat="1">
      <c r="C17" s="9">
        <v>1</v>
      </c>
      <c r="D17" s="16" t="s">
        <v>160</v>
      </c>
      <c r="E17" s="11" t="s">
        <v>58</v>
      </c>
      <c r="F17" s="14"/>
      <c r="G17" s="14"/>
      <c r="H17" s="14"/>
      <c r="I17" s="14"/>
      <c r="J17" s="14"/>
      <c r="K17" s="14"/>
      <c r="L17" s="14"/>
      <c r="M17" s="9"/>
      <c r="N17" s="9"/>
    </row>
    <row r="18" spans="1:14" s="8" customFormat="1" ht="67.5">
      <c r="B18" s="8" t="s">
        <v>210</v>
      </c>
      <c r="C18" s="9">
        <v>1</v>
      </c>
      <c r="D18" s="16" t="s">
        <v>161</v>
      </c>
      <c r="E18" s="11"/>
      <c r="F18" s="14" t="s">
        <v>162</v>
      </c>
      <c r="G18" s="15" t="s">
        <v>163</v>
      </c>
      <c r="H18" s="15" t="s">
        <v>164</v>
      </c>
      <c r="I18" s="15" t="s">
        <v>157</v>
      </c>
      <c r="J18" s="15" t="s">
        <v>165</v>
      </c>
      <c r="K18" s="15" t="s">
        <v>166</v>
      </c>
      <c r="L18" s="15"/>
      <c r="M18" s="9"/>
      <c r="N18" s="9"/>
    </row>
    <row r="19" spans="1:14" s="8" customFormat="1" ht="40.5">
      <c r="B19" s="8" t="s">
        <v>210</v>
      </c>
      <c r="C19" s="9">
        <v>1</v>
      </c>
      <c r="D19" s="16" t="s">
        <v>167</v>
      </c>
      <c r="E19" s="11" t="s">
        <v>62</v>
      </c>
      <c r="F19" s="15"/>
      <c r="G19" s="14"/>
      <c r="H19" s="14"/>
      <c r="I19" s="14"/>
      <c r="J19" s="14"/>
      <c r="K19" s="14"/>
      <c r="L19" s="14"/>
      <c r="M19" s="9"/>
      <c r="N19" s="9"/>
    </row>
    <row r="20" spans="1:14" s="8" customFormat="1" ht="67.5">
      <c r="C20" s="9">
        <v>2</v>
      </c>
      <c r="D20" s="16" t="s">
        <v>168</v>
      </c>
      <c r="E20" s="11" t="s">
        <v>63</v>
      </c>
      <c r="F20" s="15" t="s">
        <v>169</v>
      </c>
      <c r="G20" s="15" t="s">
        <v>170</v>
      </c>
      <c r="H20" s="15" t="s">
        <v>171</v>
      </c>
      <c r="I20" s="14"/>
      <c r="J20" s="14"/>
      <c r="K20" s="14"/>
      <c r="L20" s="14"/>
      <c r="M20" s="18"/>
      <c r="N20" s="9"/>
    </row>
    <row r="21" spans="1:14" s="8" customFormat="1" ht="67.5">
      <c r="B21" s="8" t="s">
        <v>210</v>
      </c>
      <c r="C21" s="9">
        <v>2</v>
      </c>
      <c r="D21" s="16" t="s">
        <v>172</v>
      </c>
      <c r="E21" s="11" t="s">
        <v>205</v>
      </c>
      <c r="F21" s="15" t="s">
        <v>173</v>
      </c>
      <c r="G21" s="14" t="s">
        <v>174</v>
      </c>
      <c r="H21" s="15" t="s">
        <v>175</v>
      </c>
      <c r="I21" s="15" t="s">
        <v>176</v>
      </c>
      <c r="J21" s="15" t="s">
        <v>177</v>
      </c>
      <c r="K21" s="14"/>
      <c r="L21" s="14"/>
      <c r="M21" s="9" t="s">
        <v>149</v>
      </c>
      <c r="N21" s="9"/>
    </row>
    <row r="22" spans="1:14" s="8" customFormat="1" ht="40.5">
      <c r="A22" s="8" t="s">
        <v>211</v>
      </c>
      <c r="C22" s="9">
        <v>3</v>
      </c>
      <c r="D22" s="16" t="s">
        <v>178</v>
      </c>
      <c r="E22" s="11" t="s">
        <v>64</v>
      </c>
      <c r="F22" s="17" t="s">
        <v>179</v>
      </c>
      <c r="G22" s="14" t="s">
        <v>180</v>
      </c>
      <c r="H22" s="14"/>
      <c r="I22" s="14"/>
      <c r="J22" s="14"/>
      <c r="K22" s="14"/>
      <c r="L22" s="14"/>
      <c r="M22" s="9" t="s">
        <v>149</v>
      </c>
      <c r="N22" s="9" t="s">
        <v>149</v>
      </c>
    </row>
    <row r="23" spans="1:14" s="8" customFormat="1" ht="40.5">
      <c r="A23" s="8" t="s">
        <v>211</v>
      </c>
      <c r="C23" s="9">
        <v>3</v>
      </c>
      <c r="D23" s="16" t="s">
        <v>181</v>
      </c>
      <c r="E23" s="11" t="s">
        <v>65</v>
      </c>
      <c r="F23" s="17" t="s">
        <v>182</v>
      </c>
      <c r="G23" s="14" t="s">
        <v>183</v>
      </c>
      <c r="H23" s="14"/>
      <c r="I23" s="14"/>
      <c r="J23" s="14"/>
      <c r="K23" s="14"/>
      <c r="L23" s="14"/>
      <c r="M23" s="9" t="s">
        <v>149</v>
      </c>
      <c r="N23" s="9" t="s">
        <v>149</v>
      </c>
    </row>
    <row r="24" spans="1:14" s="8" customFormat="1">
      <c r="C24" s="19">
        <v>3</v>
      </c>
      <c r="D24" s="20" t="s">
        <v>184</v>
      </c>
      <c r="E24" s="11" t="s">
        <v>58</v>
      </c>
      <c r="F24" s="21"/>
      <c r="G24" s="21"/>
      <c r="H24" s="21"/>
      <c r="I24" s="21"/>
      <c r="J24" s="21"/>
      <c r="K24" s="21"/>
      <c r="L24" s="21"/>
      <c r="M24" s="19"/>
      <c r="N24" s="19"/>
    </row>
    <row r="25" spans="1:14" s="8" customFormat="1" ht="27">
      <c r="C25" s="9">
        <v>3</v>
      </c>
      <c r="D25" s="16" t="s">
        <v>185</v>
      </c>
      <c r="E25" s="11" t="s">
        <v>66</v>
      </c>
      <c r="F25" s="14"/>
      <c r="G25" s="14"/>
      <c r="H25" s="14"/>
      <c r="I25" s="14"/>
      <c r="J25" s="14"/>
      <c r="K25" s="14"/>
      <c r="L25" s="14"/>
      <c r="M25" s="9"/>
      <c r="N25" s="9"/>
    </row>
    <row r="26" spans="1:14" s="8" customFormat="1">
      <c r="C26" s="19">
        <v>3</v>
      </c>
      <c r="D26" s="20" t="s">
        <v>186</v>
      </c>
      <c r="E26" s="11" t="s">
        <v>206</v>
      </c>
      <c r="F26" s="21"/>
      <c r="G26" s="21"/>
      <c r="H26" s="21"/>
      <c r="I26" s="21"/>
      <c r="J26" s="21"/>
      <c r="K26" s="21"/>
      <c r="L26" s="21"/>
      <c r="M26" s="19"/>
      <c r="N26" s="19"/>
    </row>
    <row r="27" spans="1:14" s="8" customFormat="1" ht="54">
      <c r="C27" s="9">
        <v>3</v>
      </c>
      <c r="D27" s="16" t="s">
        <v>187</v>
      </c>
      <c r="E27" s="11" t="s">
        <v>67</v>
      </c>
      <c r="F27" s="15" t="s">
        <v>536</v>
      </c>
      <c r="G27" s="15" t="s">
        <v>188</v>
      </c>
      <c r="H27" s="14"/>
      <c r="I27" s="14"/>
      <c r="J27" s="14"/>
      <c r="K27" s="14"/>
      <c r="L27" s="14"/>
      <c r="M27" s="18"/>
      <c r="N27" s="9"/>
    </row>
    <row r="28" spans="1:14" s="8" customFormat="1" ht="54">
      <c r="C28" s="9">
        <v>3</v>
      </c>
      <c r="D28" s="16" t="s">
        <v>189</v>
      </c>
      <c r="E28" s="11" t="s">
        <v>68</v>
      </c>
      <c r="F28" s="15"/>
      <c r="G28" s="14"/>
      <c r="H28" s="14"/>
      <c r="I28" s="14"/>
      <c r="J28" s="14"/>
      <c r="K28" s="14"/>
      <c r="L28" s="14"/>
      <c r="M28" s="9" t="s">
        <v>149</v>
      </c>
      <c r="N28" s="9" t="s">
        <v>149</v>
      </c>
    </row>
    <row r="29" spans="1:14" s="8" customFormat="1" ht="27">
      <c r="C29" s="9">
        <v>3</v>
      </c>
      <c r="D29" s="16" t="s">
        <v>190</v>
      </c>
      <c r="E29" s="11" t="s">
        <v>207</v>
      </c>
      <c r="F29" s="14" t="s">
        <v>191</v>
      </c>
      <c r="G29" s="14" t="s">
        <v>192</v>
      </c>
      <c r="H29" s="14" t="s">
        <v>193</v>
      </c>
      <c r="I29" s="14"/>
      <c r="J29" s="14"/>
      <c r="K29" s="14"/>
      <c r="L29" s="14"/>
      <c r="M29" s="9" t="s">
        <v>149</v>
      </c>
      <c r="N29" s="9" t="s">
        <v>149</v>
      </c>
    </row>
    <row r="30" spans="1:14" s="8" customFormat="1" ht="54">
      <c r="C30" s="9">
        <v>3</v>
      </c>
      <c r="D30" s="16" t="s">
        <v>194</v>
      </c>
      <c r="E30" s="11" t="s">
        <v>208</v>
      </c>
      <c r="F30" s="15" t="s">
        <v>195</v>
      </c>
      <c r="G30" s="15" t="s">
        <v>196</v>
      </c>
      <c r="H30" s="14"/>
      <c r="I30" s="14"/>
      <c r="J30" s="14"/>
      <c r="K30" s="14"/>
      <c r="L30" s="14"/>
      <c r="M30" s="9" t="s">
        <v>149</v>
      </c>
      <c r="N30" s="9" t="s">
        <v>149</v>
      </c>
    </row>
    <row r="31" spans="1:14" s="8" customFormat="1" ht="54">
      <c r="C31" s="9">
        <v>3</v>
      </c>
      <c r="D31" s="16" t="s">
        <v>197</v>
      </c>
      <c r="E31" s="11" t="s">
        <v>69</v>
      </c>
      <c r="F31" s="15" t="s">
        <v>198</v>
      </c>
      <c r="G31" s="15" t="s">
        <v>199</v>
      </c>
      <c r="H31" s="14"/>
      <c r="I31" s="14"/>
      <c r="J31" s="14"/>
      <c r="K31" s="14"/>
      <c r="L31" s="14"/>
      <c r="M31" s="9"/>
      <c r="N31" s="9"/>
    </row>
    <row r="32" spans="1:14" s="8" customFormat="1">
      <c r="C32" s="9">
        <v>3</v>
      </c>
      <c r="D32" s="16" t="s">
        <v>200</v>
      </c>
      <c r="E32" s="11" t="s">
        <v>206</v>
      </c>
      <c r="F32" s="14"/>
      <c r="G32" s="14"/>
      <c r="H32" s="14"/>
      <c r="I32" s="14"/>
      <c r="J32" s="14"/>
      <c r="K32" s="14"/>
      <c r="L32" s="14"/>
      <c r="M32" s="9"/>
      <c r="N32" s="9"/>
    </row>
  </sheetData>
  <autoFilter ref="C2:C32"/>
  <phoneticPr fontId="2" type="noConversion"/>
  <conditionalFormatting sqref="C27:C32 C2:C3 C5:C7 C9:C10 C12:C25">
    <cfRule type="cellIs" dxfId="19" priority="17" operator="equal">
      <formula>3</formula>
    </cfRule>
    <cfRule type="cellIs" dxfId="18" priority="18" operator="equal">
      <formula>1</formula>
    </cfRule>
    <cfRule type="cellIs" dxfId="17" priority="19" operator="equal">
      <formula>2</formula>
    </cfRule>
    <cfRule type="cellIs" dxfId="16" priority="20" operator="equal">
      <formula>1</formula>
    </cfRule>
  </conditionalFormatting>
  <conditionalFormatting sqref="C26">
    <cfRule type="cellIs" dxfId="15" priority="13" operator="equal">
      <formula>3</formula>
    </cfRule>
    <cfRule type="cellIs" dxfId="14" priority="14" operator="equal">
      <formula>1</formula>
    </cfRule>
    <cfRule type="cellIs" dxfId="13" priority="15" operator="equal">
      <formula>2</formula>
    </cfRule>
    <cfRule type="cellIs" dxfId="12" priority="16" operator="equal">
      <formula>1</formula>
    </cfRule>
  </conditionalFormatting>
  <conditionalFormatting sqref="C4">
    <cfRule type="cellIs" dxfId="11" priority="9" operator="equal">
      <formula>3</formula>
    </cfRule>
    <cfRule type="cellIs" dxfId="10" priority="10" operator="equal">
      <formula>1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C8">
    <cfRule type="cellIs" dxfId="7" priority="5" operator="equal">
      <formula>3</formula>
    </cfRule>
    <cfRule type="cellIs" dxfId="6" priority="6" operator="equal">
      <formula>1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C11">
    <cfRule type="cellIs" dxfId="3" priority="1" operator="equal">
      <formula>3</formula>
    </cfRule>
    <cfRule type="cellIs" dxfId="2" priority="2" operator="equal">
      <formula>1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5"/>
  <sheetViews>
    <sheetView workbookViewId="0">
      <selection activeCell="B9" sqref="B9"/>
    </sheetView>
  </sheetViews>
  <sheetFormatPr defaultRowHeight="13.5"/>
  <cols>
    <col min="1" max="1" width="11" bestFit="1" customWidth="1"/>
  </cols>
  <sheetData>
    <row r="1" spans="1:11">
      <c r="H1" t="s">
        <v>292</v>
      </c>
      <c r="I1" t="s">
        <v>293</v>
      </c>
      <c r="J1" t="s">
        <v>292</v>
      </c>
      <c r="K1" t="s">
        <v>293</v>
      </c>
    </row>
    <row r="2" spans="1:11">
      <c r="A2" t="s">
        <v>294</v>
      </c>
      <c r="B2" t="s">
        <v>295</v>
      </c>
      <c r="C2" s="36"/>
      <c r="D2" t="s">
        <v>296</v>
      </c>
      <c r="E2" t="s">
        <v>297</v>
      </c>
      <c r="F2" t="s">
        <v>298</v>
      </c>
      <c r="G2" t="s">
        <v>299</v>
      </c>
      <c r="H2" t="s">
        <v>300</v>
      </c>
    </row>
    <row r="3" spans="1:11">
      <c r="A3" t="s">
        <v>301</v>
      </c>
      <c r="B3" s="7" t="s">
        <v>302</v>
      </c>
      <c r="I3" t="s">
        <v>300</v>
      </c>
    </row>
    <row r="4" spans="1:11">
      <c r="A4" t="s">
        <v>301</v>
      </c>
      <c r="B4" s="7" t="s">
        <v>303</v>
      </c>
      <c r="I4" t="s">
        <v>300</v>
      </c>
    </row>
    <row r="5" spans="1:11">
      <c r="A5" t="s">
        <v>301</v>
      </c>
      <c r="B5" s="7" t="s">
        <v>304</v>
      </c>
      <c r="I5" t="s">
        <v>300</v>
      </c>
    </row>
    <row r="6" spans="1:11">
      <c r="A6" t="s">
        <v>301</v>
      </c>
      <c r="B6" s="7" t="s">
        <v>305</v>
      </c>
      <c r="I6" t="s">
        <v>300</v>
      </c>
    </row>
    <row r="7" spans="1:11">
      <c r="A7" t="s">
        <v>301</v>
      </c>
      <c r="B7" s="7" t="s">
        <v>306</v>
      </c>
      <c r="I7" t="s">
        <v>300</v>
      </c>
    </row>
    <row r="8" spans="1:11">
      <c r="A8" t="s">
        <v>301</v>
      </c>
      <c r="B8" s="7" t="s">
        <v>307</v>
      </c>
      <c r="I8" t="s">
        <v>300</v>
      </c>
    </row>
    <row r="9" spans="1:11">
      <c r="A9" t="s">
        <v>301</v>
      </c>
      <c r="B9" s="7" t="s">
        <v>308</v>
      </c>
      <c r="I9" t="s">
        <v>300</v>
      </c>
    </row>
    <row r="10" spans="1:11">
      <c r="A10" t="s">
        <v>301</v>
      </c>
      <c r="B10" s="7" t="s">
        <v>309</v>
      </c>
      <c r="I10" t="s">
        <v>300</v>
      </c>
    </row>
    <row r="11" spans="1:11">
      <c r="A11" t="s">
        <v>301</v>
      </c>
      <c r="B11" s="10" t="s">
        <v>310</v>
      </c>
      <c r="I11" t="s">
        <v>300</v>
      </c>
    </row>
    <row r="12" spans="1:11">
      <c r="A12" t="s">
        <v>301</v>
      </c>
      <c r="B12" s="10" t="s">
        <v>311</v>
      </c>
      <c r="I12" t="s">
        <v>300</v>
      </c>
    </row>
    <row r="14" spans="1:11">
      <c r="A14" t="s">
        <v>301</v>
      </c>
      <c r="B14" t="s">
        <v>312</v>
      </c>
      <c r="D14" t="s">
        <v>313</v>
      </c>
      <c r="E14" t="s">
        <v>297</v>
      </c>
      <c r="F14" t="s">
        <v>314</v>
      </c>
      <c r="G14" t="s">
        <v>299</v>
      </c>
      <c r="J14" t="s">
        <v>315</v>
      </c>
    </row>
    <row r="15" spans="1:11">
      <c r="A15" t="s">
        <v>316</v>
      </c>
      <c r="B15" s="7" t="s">
        <v>317</v>
      </c>
      <c r="C15" s="36"/>
      <c r="D15" t="s">
        <v>313</v>
      </c>
      <c r="E15" t="s">
        <v>297</v>
      </c>
      <c r="F15" t="s">
        <v>314</v>
      </c>
      <c r="G15" t="s">
        <v>299</v>
      </c>
      <c r="H15" t="s">
        <v>300</v>
      </c>
      <c r="K15" t="s">
        <v>315</v>
      </c>
    </row>
    <row r="16" spans="1:11">
      <c r="A16" t="s">
        <v>316</v>
      </c>
      <c r="B16" s="7" t="s">
        <v>302</v>
      </c>
      <c r="I16" t="s">
        <v>300</v>
      </c>
      <c r="K16" t="s">
        <v>315</v>
      </c>
    </row>
    <row r="17" spans="1:11">
      <c r="A17" t="s">
        <v>316</v>
      </c>
      <c r="B17" s="7" t="s">
        <v>303</v>
      </c>
      <c r="I17" t="s">
        <v>300</v>
      </c>
      <c r="K17" t="s">
        <v>315</v>
      </c>
    </row>
    <row r="18" spans="1:11">
      <c r="A18" t="s">
        <v>316</v>
      </c>
      <c r="B18" s="7" t="s">
        <v>304</v>
      </c>
      <c r="I18" t="s">
        <v>300</v>
      </c>
      <c r="K18" t="s">
        <v>315</v>
      </c>
    </row>
    <row r="19" spans="1:11">
      <c r="A19" t="s">
        <v>316</v>
      </c>
      <c r="B19" s="7" t="s">
        <v>305</v>
      </c>
      <c r="I19" t="s">
        <v>300</v>
      </c>
      <c r="K19" t="s">
        <v>315</v>
      </c>
    </row>
    <row r="20" spans="1:11">
      <c r="A20" t="s">
        <v>316</v>
      </c>
      <c r="B20" s="7" t="s">
        <v>306</v>
      </c>
      <c r="I20" t="s">
        <v>300</v>
      </c>
      <c r="K20" t="s">
        <v>315</v>
      </c>
    </row>
    <row r="21" spans="1:11">
      <c r="A21" t="s">
        <v>316</v>
      </c>
      <c r="B21" s="7" t="s">
        <v>307</v>
      </c>
      <c r="I21" t="s">
        <v>300</v>
      </c>
      <c r="K21" t="s">
        <v>315</v>
      </c>
    </row>
    <row r="22" spans="1:11">
      <c r="A22" t="s">
        <v>316</v>
      </c>
      <c r="B22" s="7" t="s">
        <v>308</v>
      </c>
      <c r="I22" t="s">
        <v>300</v>
      </c>
      <c r="K22" t="s">
        <v>315</v>
      </c>
    </row>
    <row r="23" spans="1:11">
      <c r="A23" t="s">
        <v>316</v>
      </c>
      <c r="B23" s="7" t="s">
        <v>309</v>
      </c>
      <c r="I23" t="s">
        <v>300</v>
      </c>
      <c r="K23" t="s">
        <v>315</v>
      </c>
    </row>
    <row r="24" spans="1:11">
      <c r="A24" t="s">
        <v>316</v>
      </c>
      <c r="B24" s="10" t="s">
        <v>310</v>
      </c>
      <c r="I24" t="s">
        <v>300</v>
      </c>
      <c r="K24" t="s">
        <v>315</v>
      </c>
    </row>
    <row r="25" spans="1:11">
      <c r="A25" t="s">
        <v>316</v>
      </c>
      <c r="B25" s="10" t="s">
        <v>311</v>
      </c>
      <c r="I25" t="s">
        <v>300</v>
      </c>
      <c r="K25" t="s">
        <v>315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C39"/>
  <sheetViews>
    <sheetView workbookViewId="0">
      <selection activeCell="F33" sqref="F33"/>
    </sheetView>
  </sheetViews>
  <sheetFormatPr defaultRowHeight="13.5"/>
  <cols>
    <col min="2" max="2" width="13.875" bestFit="1" customWidth="1"/>
    <col min="3" max="3" width="13" bestFit="1" customWidth="1"/>
  </cols>
  <sheetData>
    <row r="2" spans="2:3">
      <c r="B2" s="2" t="s">
        <v>12</v>
      </c>
      <c r="C2" s="1" t="s">
        <v>11</v>
      </c>
    </row>
    <row r="3" spans="2:3">
      <c r="B3" s="2" t="s">
        <v>37</v>
      </c>
      <c r="C3" s="1" t="s">
        <v>10</v>
      </c>
    </row>
    <row r="4" spans="2:3">
      <c r="B4" s="2" t="s">
        <v>13</v>
      </c>
      <c r="C4" s="1" t="s">
        <v>1</v>
      </c>
    </row>
    <row r="5" spans="2:3">
      <c r="B5" s="2" t="s">
        <v>14</v>
      </c>
      <c r="C5" s="1" t="s">
        <v>2</v>
      </c>
    </row>
    <row r="6" spans="2:3">
      <c r="B6" s="2" t="s">
        <v>15</v>
      </c>
      <c r="C6" s="1" t="s">
        <v>3</v>
      </c>
    </row>
    <row r="7" spans="2:3">
      <c r="B7" s="2" t="s">
        <v>16</v>
      </c>
      <c r="C7" s="1" t="s">
        <v>4</v>
      </c>
    </row>
    <row r="8" spans="2:3">
      <c r="B8" s="2" t="s">
        <v>17</v>
      </c>
      <c r="C8" s="1" t="s">
        <v>5</v>
      </c>
    </row>
    <row r="9" spans="2:3">
      <c r="B9" s="2" t="s">
        <v>18</v>
      </c>
      <c r="C9" s="1" t="s">
        <v>6</v>
      </c>
    </row>
    <row r="10" spans="2:3">
      <c r="B10" s="2" t="s">
        <v>19</v>
      </c>
      <c r="C10" s="1" t="s">
        <v>7</v>
      </c>
    </row>
    <row r="11" spans="2:3">
      <c r="B11" s="2" t="s">
        <v>20</v>
      </c>
      <c r="C11" s="1" t="s">
        <v>8</v>
      </c>
    </row>
    <row r="12" spans="2:3">
      <c r="B12" s="2" t="s">
        <v>106</v>
      </c>
      <c r="C12" s="1" t="s">
        <v>9</v>
      </c>
    </row>
    <row r="17" spans="2:3">
      <c r="B17" s="2" t="s">
        <v>107</v>
      </c>
      <c r="C17" s="1" t="s">
        <v>0</v>
      </c>
    </row>
    <row r="18" spans="2:3">
      <c r="B18" s="2" t="s">
        <v>39</v>
      </c>
      <c r="C18" s="1" t="s">
        <v>21</v>
      </c>
    </row>
    <row r="19" spans="2:3">
      <c r="B19" s="2" t="s">
        <v>109</v>
      </c>
      <c r="C19" s="1" t="s">
        <v>23</v>
      </c>
    </row>
    <row r="20" spans="2:3">
      <c r="B20" s="2" t="s">
        <v>94</v>
      </c>
      <c r="C20" s="1" t="s">
        <v>24</v>
      </c>
    </row>
    <row r="21" spans="2:3">
      <c r="B21" s="2" t="s">
        <v>95</v>
      </c>
      <c r="C21" s="1" t="s">
        <v>25</v>
      </c>
    </row>
    <row r="22" spans="2:3">
      <c r="B22" s="2" t="s">
        <v>96</v>
      </c>
      <c r="C22" s="1" t="s">
        <v>26</v>
      </c>
    </row>
    <row r="23" spans="2:3">
      <c r="B23" s="2" t="s">
        <v>97</v>
      </c>
      <c r="C23" s="1" t="s">
        <v>27</v>
      </c>
    </row>
    <row r="24" spans="2:3">
      <c r="B24" s="2" t="s">
        <v>113</v>
      </c>
      <c r="C24" s="1" t="s">
        <v>110</v>
      </c>
    </row>
    <row r="25" spans="2:3">
      <c r="B25" s="2" t="s">
        <v>114</v>
      </c>
      <c r="C25" s="1" t="s">
        <v>111</v>
      </c>
    </row>
    <row r="26" spans="2:3">
      <c r="B26" s="2" t="s">
        <v>115</v>
      </c>
      <c r="C26" s="1" t="s">
        <v>112</v>
      </c>
    </row>
    <row r="27" spans="2:3">
      <c r="B27" s="2" t="s">
        <v>119</v>
      </c>
      <c r="C27" s="1" t="s">
        <v>116</v>
      </c>
    </row>
    <row r="28" spans="2:3">
      <c r="B28" s="2" t="s">
        <v>120</v>
      </c>
      <c r="C28" s="1" t="s">
        <v>117</v>
      </c>
    </row>
    <row r="29" spans="2:3">
      <c r="B29" s="2" t="s">
        <v>121</v>
      </c>
      <c r="C29" s="1" t="s">
        <v>118</v>
      </c>
    </row>
    <row r="30" spans="2:3">
      <c r="B30" s="2" t="s">
        <v>105</v>
      </c>
      <c r="C30" s="1" t="s">
        <v>28</v>
      </c>
    </row>
    <row r="31" spans="2:3">
      <c r="B31" s="2" t="s">
        <v>108</v>
      </c>
      <c r="C31" s="1" t="s">
        <v>29</v>
      </c>
    </row>
    <row r="32" spans="2:3">
      <c r="B32" s="2" t="s">
        <v>209</v>
      </c>
      <c r="C32" s="1" t="s">
        <v>30</v>
      </c>
    </row>
    <row r="33" spans="2:3">
      <c r="B33" s="2" t="s">
        <v>99</v>
      </c>
      <c r="C33" s="1" t="s">
        <v>31</v>
      </c>
    </row>
    <row r="34" spans="2:3">
      <c r="B34" s="2" t="s">
        <v>98</v>
      </c>
      <c r="C34" s="1" t="s">
        <v>32</v>
      </c>
    </row>
    <row r="35" spans="2:3">
      <c r="B35" s="2" t="s">
        <v>100</v>
      </c>
      <c r="C35" s="1" t="s">
        <v>33</v>
      </c>
    </row>
    <row r="36" spans="2:3">
      <c r="B36" s="2" t="s">
        <v>101</v>
      </c>
      <c r="C36" s="1" t="s">
        <v>34</v>
      </c>
    </row>
    <row r="37" spans="2:3">
      <c r="B37" s="2" t="s">
        <v>102</v>
      </c>
      <c r="C37" s="1" t="s">
        <v>22</v>
      </c>
    </row>
    <row r="38" spans="2:3">
      <c r="B38" s="2" t="s">
        <v>103</v>
      </c>
      <c r="C38" s="1" t="s">
        <v>35</v>
      </c>
    </row>
    <row r="39" spans="2:3">
      <c r="B39" s="2" t="s">
        <v>104</v>
      </c>
      <c r="C39" s="1" t="s">
        <v>36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117"/>
  <sheetViews>
    <sheetView topLeftCell="A7" workbookViewId="0">
      <selection activeCell="K14" sqref="K14"/>
    </sheetView>
  </sheetViews>
  <sheetFormatPr defaultRowHeight="13.5"/>
  <cols>
    <col min="1" max="1" width="5.25" style="14" customWidth="1"/>
    <col min="2" max="4" width="7" style="14" customWidth="1"/>
    <col min="5" max="5" width="8.125" style="14" customWidth="1"/>
    <col min="6" max="6" width="5.75" style="14" customWidth="1"/>
    <col min="7" max="7" width="6.25" style="14" customWidth="1"/>
    <col min="8" max="8" width="12.125" style="14" customWidth="1"/>
    <col min="9" max="9" width="4.25" style="9" customWidth="1"/>
    <col min="10" max="10" width="13" style="9" bestFit="1" customWidth="1"/>
    <col min="11" max="11" width="20.875" style="14" customWidth="1"/>
    <col min="12" max="12" width="9" style="14"/>
    <col min="13" max="13" width="16" style="14" customWidth="1"/>
    <col min="14" max="14" width="9" style="14"/>
    <col min="15" max="15" width="29.125" style="14" bestFit="1" customWidth="1"/>
    <col min="16" max="16" width="9" style="14"/>
    <col min="17" max="17" width="15.125" style="14" customWidth="1"/>
    <col min="18" max="18" width="9" style="14"/>
    <col min="19" max="19" width="11.375" style="14" customWidth="1"/>
    <col min="20" max="20" width="17.375" style="14" customWidth="1"/>
    <col min="21" max="21" width="11.25" style="14" customWidth="1"/>
    <col min="22" max="22" width="9" style="14"/>
    <col min="23" max="23" width="10.125" style="14" customWidth="1"/>
    <col min="24" max="30" width="9" style="14"/>
    <col min="31" max="31" width="12.75" style="14" bestFit="1" customWidth="1"/>
    <col min="32" max="32" width="13.875" style="14" bestFit="1" customWidth="1"/>
    <col min="33" max="16384" width="9" style="14"/>
  </cols>
  <sheetData>
    <row r="1" spans="1:32">
      <c r="A1" s="48" t="s">
        <v>241</v>
      </c>
      <c r="B1" s="48" t="s">
        <v>276</v>
      </c>
      <c r="C1" s="48" t="s">
        <v>279</v>
      </c>
      <c r="D1" s="48" t="s">
        <v>218</v>
      </c>
      <c r="E1" s="48" t="s">
        <v>318</v>
      </c>
      <c r="F1" s="48" t="s">
        <v>319</v>
      </c>
      <c r="G1" s="48" t="s">
        <v>36</v>
      </c>
      <c r="H1" s="48" t="s">
        <v>472</v>
      </c>
      <c r="I1" s="49" t="s">
        <v>219</v>
      </c>
      <c r="J1" s="49" t="s">
        <v>220</v>
      </c>
      <c r="K1" s="48"/>
      <c r="L1" s="48" t="s">
        <v>24</v>
      </c>
      <c r="M1" s="48"/>
      <c r="N1" s="48" t="s">
        <v>221</v>
      </c>
      <c r="O1" s="48"/>
      <c r="P1" s="48" t="s">
        <v>26</v>
      </c>
      <c r="Q1" s="48"/>
      <c r="R1" s="48" t="s">
        <v>222</v>
      </c>
      <c r="S1" s="48"/>
      <c r="T1" s="48" t="s">
        <v>223</v>
      </c>
      <c r="U1" s="48"/>
      <c r="V1" s="48" t="s">
        <v>224</v>
      </c>
      <c r="W1" s="48"/>
      <c r="X1" s="48" t="s">
        <v>225</v>
      </c>
      <c r="Y1" s="48"/>
      <c r="Z1" s="48" t="s">
        <v>226</v>
      </c>
      <c r="AA1" s="48"/>
      <c r="AB1" s="48" t="s">
        <v>227</v>
      </c>
      <c r="AC1" s="48"/>
      <c r="AD1" s="48" t="s">
        <v>228</v>
      </c>
      <c r="AE1" s="48" t="s">
        <v>28</v>
      </c>
      <c r="AF1" s="48" t="s">
        <v>229</v>
      </c>
    </row>
    <row r="2" spans="1:32" ht="61.5" customHeight="1">
      <c r="A2" s="50" t="s">
        <v>278</v>
      </c>
      <c r="B2" s="51"/>
      <c r="C2" s="51"/>
      <c r="D2" s="51"/>
      <c r="E2" s="52" t="s">
        <v>321</v>
      </c>
      <c r="F2" s="52" t="s">
        <v>322</v>
      </c>
      <c r="G2" s="52" t="s">
        <v>290</v>
      </c>
      <c r="H2" s="52" t="s">
        <v>522</v>
      </c>
      <c r="I2" s="53"/>
      <c r="J2" s="53"/>
      <c r="K2" s="51"/>
      <c r="L2" s="50" t="s">
        <v>484</v>
      </c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2" t="s">
        <v>283</v>
      </c>
      <c r="AF2" s="52" t="s">
        <v>284</v>
      </c>
    </row>
    <row r="3" spans="1:32" s="40" customFormat="1">
      <c r="A3" s="54" t="s">
        <v>230</v>
      </c>
      <c r="B3" s="54"/>
      <c r="C3" s="54" t="s">
        <v>280</v>
      </c>
      <c r="D3" s="54" t="s">
        <v>231</v>
      </c>
      <c r="E3" s="54" t="s">
        <v>486</v>
      </c>
      <c r="F3" s="54" t="s">
        <v>487</v>
      </c>
      <c r="G3" s="54" t="s">
        <v>289</v>
      </c>
      <c r="H3" s="54" t="s">
        <v>474</v>
      </c>
      <c r="I3" s="55" t="s">
        <v>282</v>
      </c>
      <c r="J3" s="55"/>
      <c r="K3" s="54"/>
      <c r="L3" s="54" t="s">
        <v>281</v>
      </c>
      <c r="M3" s="54"/>
      <c r="N3" s="54" t="s">
        <v>232</v>
      </c>
      <c r="O3" s="54"/>
      <c r="P3" s="54" t="s">
        <v>233</v>
      </c>
      <c r="Q3" s="54"/>
      <c r="R3" s="54" t="s">
        <v>234</v>
      </c>
      <c r="S3" s="54"/>
      <c r="T3" s="54" t="s">
        <v>235</v>
      </c>
      <c r="U3" s="54"/>
      <c r="V3" s="54" t="s">
        <v>236</v>
      </c>
      <c r="W3" s="54"/>
      <c r="X3" s="54" t="s">
        <v>237</v>
      </c>
      <c r="Y3" s="54"/>
      <c r="Z3" s="54" t="s">
        <v>238</v>
      </c>
      <c r="AA3" s="54"/>
      <c r="AB3" s="54" t="s">
        <v>239</v>
      </c>
      <c r="AC3" s="54"/>
      <c r="AD3" s="54" t="s">
        <v>240</v>
      </c>
      <c r="AE3" s="54" t="s">
        <v>288</v>
      </c>
      <c r="AF3" s="54" t="s">
        <v>287</v>
      </c>
    </row>
    <row r="4" spans="1:32" s="40" customFormat="1">
      <c r="A4" s="54" t="s">
        <v>523</v>
      </c>
      <c r="B4" s="54"/>
      <c r="C4" s="54" t="s">
        <v>215</v>
      </c>
      <c r="D4" s="54" t="s">
        <v>217</v>
      </c>
      <c r="E4" s="54" t="s">
        <v>320</v>
      </c>
      <c r="F4" s="54" t="s">
        <v>320</v>
      </c>
      <c r="G4" s="54" t="s">
        <v>215</v>
      </c>
      <c r="H4" s="54" t="s">
        <v>475</v>
      </c>
      <c r="I4" s="55" t="s">
        <v>215</v>
      </c>
      <c r="J4" s="55"/>
      <c r="K4" s="54"/>
      <c r="L4" s="54" t="s">
        <v>216</v>
      </c>
      <c r="M4" s="54"/>
      <c r="N4" s="54" t="s">
        <v>216</v>
      </c>
      <c r="O4" s="54"/>
      <c r="P4" s="54" t="s">
        <v>216</v>
      </c>
      <c r="Q4" s="54"/>
      <c r="R4" s="54" t="s">
        <v>216</v>
      </c>
      <c r="S4" s="54"/>
      <c r="T4" s="54" t="s">
        <v>216</v>
      </c>
      <c r="U4" s="54"/>
      <c r="V4" s="54" t="s">
        <v>216</v>
      </c>
      <c r="W4" s="54"/>
      <c r="X4" s="54" t="s">
        <v>216</v>
      </c>
      <c r="Y4" s="54"/>
      <c r="Z4" s="54" t="s">
        <v>216</v>
      </c>
      <c r="AA4" s="54"/>
      <c r="AB4" s="54" t="s">
        <v>216</v>
      </c>
      <c r="AC4" s="54"/>
      <c r="AD4" s="54" t="s">
        <v>216</v>
      </c>
      <c r="AE4" s="54" t="s">
        <v>215</v>
      </c>
      <c r="AF4" s="54" t="s">
        <v>217</v>
      </c>
    </row>
    <row r="5" spans="1:32" s="41" customFormat="1" ht="31.5" customHeight="1">
      <c r="A5" s="56" t="s">
        <v>275</v>
      </c>
      <c r="B5" s="56"/>
      <c r="C5" s="56"/>
      <c r="D5" s="56"/>
      <c r="E5" s="57"/>
      <c r="F5" s="58"/>
      <c r="G5" s="56"/>
      <c r="H5" s="59"/>
      <c r="I5" s="60"/>
      <c r="J5" s="60"/>
      <c r="K5" s="56">
        <v>3</v>
      </c>
      <c r="L5" s="56"/>
      <c r="M5" s="56">
        <v>4</v>
      </c>
      <c r="N5" s="56"/>
      <c r="O5" s="56">
        <v>5</v>
      </c>
      <c r="P5" s="56"/>
      <c r="Q5" s="56">
        <v>6</v>
      </c>
      <c r="R5" s="56"/>
      <c r="S5" s="56">
        <v>7</v>
      </c>
      <c r="T5" s="56"/>
      <c r="U5" s="56">
        <v>8</v>
      </c>
      <c r="V5" s="56"/>
      <c r="W5" s="56">
        <v>9</v>
      </c>
      <c r="X5" s="56"/>
      <c r="Y5" s="56">
        <v>10</v>
      </c>
      <c r="Z5" s="56"/>
      <c r="AA5" s="56">
        <v>11</v>
      </c>
      <c r="AB5" s="56"/>
      <c r="AC5" s="56">
        <v>12</v>
      </c>
      <c r="AD5" s="56"/>
      <c r="AE5" s="56"/>
      <c r="AF5" s="56"/>
    </row>
    <row r="6" spans="1:32" ht="27">
      <c r="A6" s="61">
        <f>ROW()</f>
        <v>6</v>
      </c>
      <c r="B6" s="61"/>
      <c r="C6" s="62">
        <v>10001</v>
      </c>
      <c r="D6" s="63">
        <v>0</v>
      </c>
      <c r="E6" s="62">
        <v>0</v>
      </c>
      <c r="F6" s="62">
        <v>0</v>
      </c>
      <c r="G6" s="61">
        <v>0</v>
      </c>
      <c r="H6" s="59"/>
      <c r="I6" s="64">
        <f>IF(ISBLANK(J6),"",VLOOKUP(J6,定义!$D$3:$E$32,2,FALSE))</f>
        <v>11</v>
      </c>
      <c r="J6" s="65" t="s">
        <v>291</v>
      </c>
      <c r="K6" s="66" t="str">
        <f>IF(ISBLANK($J6),"",IF(ISBLANK(VLOOKUP($J6,定义!$D$3:$O$34,K$5,FALSE)),"",VLOOKUP($J6,定义!$D$3:$O$34,K$5,FALSE)))</f>
        <v>X轴水平位移(int)</v>
      </c>
      <c r="L6" s="67">
        <v>100</v>
      </c>
      <c r="M6" s="66" t="str">
        <f>IF(ISBLANK($J6),"",IF(ISBLANK(VLOOKUP($J6,定义!$D$3:$O$34,M$5,FALSE)),"",VLOOKUP($J6,定义!$D$3:$O$34,M$5,FALSE)))</f>
        <v>Z轴纵深位移(int)</v>
      </c>
      <c r="N6" s="67">
        <v>0</v>
      </c>
      <c r="O6" s="66" t="str">
        <f>IF(ISBLANK($J6),"",IF(ISBLANK(VLOOKUP($J6,定义!$D$3:$O$34,O$5,FALSE)),"",VLOOKUP($J6,定义!$D$3:$O$34,O$5,FALSE)))</f>
        <v>移动过程时间
秒为单位(float)</v>
      </c>
      <c r="P6" s="67">
        <v>1</v>
      </c>
      <c r="Q6" s="66" t="str">
        <f>IF(ISBLANK($J6),"",IF(ISBLANK(VLOOKUP($J6,定义!$D$3:$O$34,Q$5,FALSE)),"",VLOOKUP($J6,定义!$D$3:$O$34,Q$5,FALSE)))</f>
        <v/>
      </c>
      <c r="R6" s="67"/>
      <c r="S6" s="66" t="str">
        <f>IF(ISBLANK($J6),"",IF(ISBLANK(VLOOKUP($J6,定义!$D$3:$O$34,S$5,FALSE)),"",VLOOKUP($J6,定义!$D$3:$O$34,S$5,FALSE)))</f>
        <v/>
      </c>
      <c r="T6" s="67"/>
      <c r="U6" s="66" t="str">
        <f>IF(ISBLANK($J6),"",IF(ISBLANK(VLOOKUP($J6,定义!$D$3:$O$34,U$5,FALSE)),"",VLOOKUP($J6,定义!$D$3:$O$34,U$5,FALSE)))</f>
        <v/>
      </c>
      <c r="V6" s="67"/>
      <c r="W6" s="68" t="str">
        <f>IF(ISBLANK($J6),"",IF(ISBLANK(VLOOKUP($J6,定义!$D$3:$O$34,W$5,FALSE)),"",VLOOKUP($J6,定义!$D$3:$O$34,W$5,FALSE)))</f>
        <v/>
      </c>
      <c r="X6" s="67"/>
      <c r="Y6" s="69" t="str">
        <f>IF(ISBLANK($J6),"",IF(ISBLANK(VLOOKUP($J6,定义!$D$3:$O$34,Y$5,FALSE)),"",VLOOKUP($J6,定义!$D$3:$O$34,Y$5,FALSE)))</f>
        <v/>
      </c>
      <c r="Z6" s="67"/>
      <c r="AA6" s="69" t="str">
        <f>IF(ISBLANK($J6),"",IF(ISBLANK(VLOOKUP($J6,定义!$D$3:$O$34,AA$5,FALSE)),"",VLOOKUP($J6,定义!$D$3:$O$34,AA$5,FALSE)))</f>
        <v/>
      </c>
      <c r="AB6" s="67"/>
      <c r="AC6" s="69" t="str">
        <f>IF(ISBLANK($J6),"",IF(ISBLANK(VLOOKUP($J6,定义!$D$3:$O$34,AC$5,FALSE)),"",VLOOKUP($J6,定义!$D$3:$O$34,AC$5,FALSE)))</f>
        <v/>
      </c>
      <c r="AD6" s="67"/>
      <c r="AE6" s="61">
        <v>0</v>
      </c>
      <c r="AF6" s="70">
        <v>0</v>
      </c>
    </row>
    <row r="7" spans="1:32" ht="105" customHeight="1">
      <c r="A7" s="61">
        <f>ROW()</f>
        <v>7</v>
      </c>
      <c r="B7" s="61"/>
      <c r="C7" s="62">
        <v>10001</v>
      </c>
      <c r="D7" s="63">
        <v>0.2</v>
      </c>
      <c r="E7" s="62"/>
      <c r="F7" s="62"/>
      <c r="G7" s="61"/>
      <c r="H7" s="59"/>
      <c r="I7" s="64">
        <f>IF(ISBLANK(J7),"",VLOOKUP(J7,定义!$D$3:$E$32,2,FALSE))</f>
        <v>18</v>
      </c>
      <c r="J7" s="65" t="s">
        <v>463</v>
      </c>
      <c r="K7" s="66" t="str">
        <f>IF(ISBLANK($J7),"",IF(ISBLANK(VLOOKUP($J7,定义!$D$3:$O$34,K$5,FALSE)),"",VLOOKUP($J7,定义!$D$3:$O$34,K$5,FALSE)))</f>
        <v>监听类型
0.立即执行
1.点击该技能按钮
2.持续按住该技能松开后(蓄力)
3.点击任一技能按钮
4.进行移动操作</v>
      </c>
      <c r="L7" s="67">
        <v>1</v>
      </c>
      <c r="M7" s="66" t="str">
        <f>IF(ISBLANK($J7),"",IF(ISBLANK(VLOOKUP($J7,定义!$D$3:$O$34,M$5,FALSE)),"",VLOOKUP($J7,定义!$D$3:$O$34,M$5,FALSE)))</f>
        <v>监听时长
0则为招式结束时结束监听
超出招式时间即使招式结束监听仍然有效</v>
      </c>
      <c r="N7" s="67">
        <v>0</v>
      </c>
      <c r="O7" s="66" t="str">
        <f>IF(ISBLANK($J7),"",IF(ISBLANK(VLOOKUP($J7,定义!$D$3:$O$34,O$5,FALSE)),"",VLOOKUP($J7,定义!$D$3:$O$34,O$5,FALSE)))</f>
        <v>执行指令
1.中断技能
2.跳转技能ID
3.取消技能CD(即在该监听过程中不进入技能CD)
4.恢复技能CD</v>
      </c>
      <c r="P7" s="67">
        <v>2</v>
      </c>
      <c r="Q7" s="66" t="str">
        <f>IF(ISBLANK($J7),"",IF(ISBLANK(VLOOKUP($J7,定义!$D$3:$O$34,Q$5,FALSE)),"",VLOOKUP($J7,定义!$D$3:$O$34,Q$5,FALSE)))</f>
        <v>对应指令参数1
指令1：无
指令2：技能ID
指令3：
指令4：</v>
      </c>
      <c r="R7" s="67">
        <v>2</v>
      </c>
      <c r="S7" s="66" t="str">
        <f>IF(ISBLANK($J7),"",IF(ISBLANK(VLOOKUP($J7,定义!$D$3:$O$34,S$5,FALSE)),"",VLOOKUP($J7,定义!$D$3:$O$34,S$5,FALSE)))</f>
        <v/>
      </c>
      <c r="T7" s="67"/>
      <c r="U7" s="66" t="str">
        <f>IF(ISBLANK($J7),"",IF(ISBLANK(VLOOKUP($J7,定义!$D$3:$O$34,U$5,FALSE)),"",VLOOKUP($J7,定义!$D$3:$O$34,U$5,FALSE)))</f>
        <v/>
      </c>
      <c r="V7" s="67"/>
      <c r="W7" s="68" t="str">
        <f>IF(ISBLANK($J7),"",IF(ISBLANK(VLOOKUP($J7,定义!$D$3:$O$34,W$5,FALSE)),"",VLOOKUP($J7,定义!$D$3:$O$34,W$5,FALSE)))</f>
        <v/>
      </c>
      <c r="X7" s="67"/>
      <c r="Y7" s="71"/>
      <c r="Z7" s="67"/>
      <c r="AA7" s="71"/>
      <c r="AB7" s="67"/>
      <c r="AC7" s="71"/>
      <c r="AD7" s="67"/>
      <c r="AE7" s="61">
        <v>0</v>
      </c>
      <c r="AF7" s="70">
        <v>0</v>
      </c>
    </row>
    <row r="8" spans="1:32" ht="33.75" customHeight="1">
      <c r="A8" s="61">
        <f>ROW()</f>
        <v>8</v>
      </c>
      <c r="B8" s="61"/>
      <c r="C8" s="62">
        <v>10001</v>
      </c>
      <c r="D8" s="63">
        <v>0.2</v>
      </c>
      <c r="E8" s="62">
        <v>1</v>
      </c>
      <c r="F8" s="62"/>
      <c r="G8" s="61"/>
      <c r="H8" s="59" t="s">
        <v>473</v>
      </c>
      <c r="I8" s="64">
        <f>IF(ISBLANK(J8),"",VLOOKUP(J8,定义!$D$3:$E$32,2,FALSE))</f>
        <v>31</v>
      </c>
      <c r="J8" s="65" t="s">
        <v>465</v>
      </c>
      <c r="K8" s="66" t="str">
        <f>IF(ISBLANK($J8),"",IF(ISBLANK(VLOOKUP($J8,定义!$D$3:$O$34,K$5,FALSE)),"",VLOOKUP($J8,定义!$D$3:$O$34,K$5,FALSE)))</f>
        <v>minX(int)</v>
      </c>
      <c r="L8" s="67">
        <v>0</v>
      </c>
      <c r="M8" s="66" t="str">
        <f>IF(ISBLANK($J8),"",IF(ISBLANK(VLOOKUP($J8,定义!$D$3:$O$34,M$5,FALSE)),"",VLOOKUP($J8,定义!$D$3:$O$34,M$5,FALSE)))</f>
        <v>maxX(int)</v>
      </c>
      <c r="N8" s="67">
        <v>200</v>
      </c>
      <c r="O8" s="66" t="str">
        <f>IF(ISBLANK($J8),"",IF(ISBLANK(VLOOKUP($J8,定义!$D$3:$O$34,O$5,FALSE)),"",VLOOKUP($J8,定义!$D$3:$O$34,O$5,FALSE)))</f>
        <v>minY(int)</v>
      </c>
      <c r="P8" s="67">
        <v>-10</v>
      </c>
      <c r="Q8" s="66" t="str">
        <f>IF(ISBLANK($J8),"",IF(ISBLANK(VLOOKUP($J8,定义!$D$3:$O$34,Q$5,FALSE)),"",VLOOKUP($J8,定义!$D$3:$O$34,Q$5,FALSE)))</f>
        <v>maxY(int)</v>
      </c>
      <c r="R8" s="67">
        <v>100</v>
      </c>
      <c r="S8" s="66" t="str">
        <f>IF(ISBLANK($J8),"",IF(ISBLANK(VLOOKUP($J8,定义!$D$3:$O$34,S$5,FALSE)),"",VLOOKUP($J8,定义!$D$3:$O$34,S$5,FALSE)))</f>
        <v>minZ(int)</v>
      </c>
      <c r="T8" s="67">
        <v>-50</v>
      </c>
      <c r="U8" s="66" t="str">
        <f>IF(ISBLANK($J8),"",IF(ISBLANK(VLOOKUP($J8,定义!$D$3:$O$34,U$5,FALSE)),"",VLOOKUP($J8,定义!$D$3:$O$34,U$5,FALSE)))</f>
        <v>maxZ(int)</v>
      </c>
      <c r="V8" s="67">
        <v>50</v>
      </c>
      <c r="W8" s="66" t="str">
        <f>IF(ISBLANK($J8),"",IF(ISBLANK(VLOOKUP($J8,定义!$D$3:$O$34,W$5,FALSE)),"",VLOOKUP($J8,定义!$D$3:$O$34,W$5,FALSE)))</f>
        <v/>
      </c>
      <c r="X8" s="67"/>
      <c r="Y8" s="71"/>
      <c r="Z8" s="67"/>
      <c r="AA8" s="71"/>
      <c r="AB8" s="67"/>
      <c r="AC8" s="71"/>
      <c r="AD8" s="67"/>
      <c r="AE8" s="61">
        <v>0</v>
      </c>
      <c r="AF8" s="70">
        <v>0</v>
      </c>
    </row>
    <row r="9" spans="1:32" ht="34.5" customHeight="1">
      <c r="A9" s="61" t="s">
        <v>502</v>
      </c>
      <c r="B9" s="61"/>
      <c r="C9" s="62">
        <v>10001</v>
      </c>
      <c r="D9" s="63">
        <v>0.2</v>
      </c>
      <c r="E9" s="62">
        <v>1</v>
      </c>
      <c r="F9" s="62"/>
      <c r="G9" s="61"/>
      <c r="H9" s="59"/>
      <c r="I9" s="64">
        <f>IF(ISBLANK(J9),"",VLOOKUP(J9,定义!$D$3:$E$32,2,FALSE))</f>
        <v>3</v>
      </c>
      <c r="J9" s="65" t="s">
        <v>507</v>
      </c>
      <c r="K9" s="66" t="str">
        <f>IF(ISBLANK($J9),"",IF(ISBLANK(VLOOKUP($J9,定义!$D$3:$O$34,K$5,FALSE)),"",VLOOKUP($J9,定义!$D$3:$O$34,K$5,FALSE)))</f>
        <v>特效制件名字(string)</v>
      </c>
      <c r="L9" s="67">
        <v>50</v>
      </c>
      <c r="M9" s="66" t="str">
        <f>IF(ISBLANK($J9),"",IF(ISBLANK(VLOOKUP($J9,定义!$D$3:$O$34,M$5,FALSE)),"",VLOOKUP($J9,定义!$D$3:$O$34,M$5,FALSE)))</f>
        <v>特效时间(无效)</v>
      </c>
      <c r="N9" s="67">
        <v>100</v>
      </c>
      <c r="O9" s="66" t="str">
        <f>IF(ISBLANK($J9),"",IF(ISBLANK(VLOOKUP($J9,定义!$D$3:$O$34,O$5,FALSE)),"",VLOOKUP($J9,定义!$D$3:$O$34,O$5,FALSE)))</f>
        <v>旋转(min|max)</v>
      </c>
      <c r="P9" s="67">
        <v>0</v>
      </c>
      <c r="Q9" s="66" t="str">
        <f>IF(ISBLANK($J9),"",IF(ISBLANK(VLOOKUP($J9,定义!$D$3:$O$34,Q$5,FALSE)),"",VLOOKUP($J9,定义!$D$3:$O$34,Q$5,FALSE)))</f>
        <v>缩放(min|max)</v>
      </c>
      <c r="R9" s="67">
        <v>0.5</v>
      </c>
      <c r="S9" s="66" t="str">
        <f>IF(ISBLANK($J9),"",IF(ISBLANK(VLOOKUP($J9,定义!$D$3:$O$34,S$5,FALSE)),"",VLOOKUP($J9,定义!$D$3:$O$34,S$5,FALSE)))</f>
        <v>偏移(x|y|z)默认值(0|80|0)</v>
      </c>
      <c r="T9" s="67"/>
      <c r="U9" s="66" t="str">
        <f>IF(ISBLANK($J9),"",IF(ISBLANK(VLOOKUP($J9,定义!$D$3:$O$34,U$5,FALSE)),"",VLOOKUP($J9,定义!$D$3:$O$34,U$5,FALSE)))</f>
        <v/>
      </c>
      <c r="V9" s="67"/>
      <c r="W9" s="66"/>
      <c r="X9" s="67"/>
      <c r="Y9" s="71"/>
      <c r="Z9" s="67"/>
      <c r="AA9" s="71"/>
      <c r="AB9" s="67"/>
      <c r="AC9" s="71"/>
      <c r="AD9" s="67"/>
      <c r="AE9" s="61"/>
      <c r="AF9" s="70"/>
    </row>
    <row r="10" spans="1:32" ht="27">
      <c r="A10" s="61">
        <f>ROW()</f>
        <v>10</v>
      </c>
      <c r="B10" s="61"/>
      <c r="C10" s="62">
        <v>10001</v>
      </c>
      <c r="D10" s="63">
        <v>0.2</v>
      </c>
      <c r="E10" s="62">
        <v>1</v>
      </c>
      <c r="F10" s="62"/>
      <c r="G10" s="61"/>
      <c r="H10" s="59" t="s">
        <v>476</v>
      </c>
      <c r="I10" s="64">
        <f>IF(ISBLANK(J10),"",VLOOKUP(J10,定义!$D$3:$E$32,2,FALSE))</f>
        <v>1</v>
      </c>
      <c r="J10" s="65" t="s">
        <v>466</v>
      </c>
      <c r="K10" s="66" t="str">
        <f>IF(ISBLANK($J10),"",IF(ISBLANK(VLOOKUP($J10,定义!$D$3:$O$34,K$5,FALSE)),"",VLOOKUP($J10,定义!$D$3:$O$34,K$5,FALSE)))</f>
        <v>伤害数值(int)</v>
      </c>
      <c r="L10" s="67">
        <v>300</v>
      </c>
      <c r="M10" s="66" t="str">
        <f>IF(ISBLANK($J10),"",IF(ISBLANK(VLOOKUP($J10,定义!$D$3:$O$34,M$5,FALSE)),"",VLOOKUP($J10,定义!$D$3:$O$34,M$5,FALSE)))</f>
        <v>伤害百分比(float)</v>
      </c>
      <c r="N10" s="67">
        <v>0</v>
      </c>
      <c r="O10" s="66" t="str">
        <f>IF(ISBLANK($J10),"",IF(ISBLANK(VLOOKUP($J10,定义!$D$3:$O$34,O$5,FALSE)),"",VLOOKUP($J10,定义!$D$3:$O$34,O$5,FALSE)))</f>
        <v/>
      </c>
      <c r="P10" s="67"/>
      <c r="Q10" s="66" t="str">
        <f>IF(ISBLANK($J10),"",IF(ISBLANK(VLOOKUP($J10,定义!$D$3:$O$34,Q$5,FALSE)),"",VLOOKUP($J10,定义!$D$3:$O$34,Q$5,FALSE)))</f>
        <v/>
      </c>
      <c r="R10" s="67"/>
      <c r="S10" s="66" t="str">
        <f>IF(ISBLANK($J10),"",IF(ISBLANK(VLOOKUP($J10,定义!$D$3:$O$34,S$5,FALSE)),"",VLOOKUP($J10,定义!$D$3:$O$34,S$5,FALSE)))</f>
        <v/>
      </c>
      <c r="T10" s="67"/>
      <c r="U10" s="66" t="str">
        <f>IF(ISBLANK($J10),"",IF(ISBLANK(VLOOKUP($J10,定义!$D$3:$O$34,U$5,FALSE)),"",VLOOKUP($J10,定义!$D$3:$O$34,U$5,FALSE)))</f>
        <v/>
      </c>
      <c r="V10" s="67"/>
      <c r="W10" s="68" t="str">
        <f>IF(ISBLANK($J10),"",IF(ISBLANK(VLOOKUP($J10,定义!$D$3:$O$34,W$5,FALSE)),"",VLOOKUP($J10,定义!$D$3:$O$34,W$5,FALSE)))</f>
        <v/>
      </c>
      <c r="X10" s="67"/>
      <c r="Y10" s="71"/>
      <c r="Z10" s="67"/>
      <c r="AA10" s="71"/>
      <c r="AB10" s="67"/>
      <c r="AC10" s="71"/>
      <c r="AD10" s="67"/>
      <c r="AE10" s="61">
        <v>0</v>
      </c>
      <c r="AF10" s="70">
        <v>0</v>
      </c>
    </row>
    <row r="11" spans="1:32" ht="34.5" customHeight="1">
      <c r="A11" s="61">
        <f>ROW()</f>
        <v>11</v>
      </c>
      <c r="B11" s="61"/>
      <c r="C11" s="62">
        <v>10001</v>
      </c>
      <c r="D11" s="63">
        <v>0.2</v>
      </c>
      <c r="E11" s="62">
        <v>1</v>
      </c>
      <c r="F11" s="62"/>
      <c r="G11" s="61"/>
      <c r="H11" s="59" t="s">
        <v>497</v>
      </c>
      <c r="I11" s="64">
        <f>IF(ISBLANK(J11),"",VLOOKUP(J11,定义!$D$3:$E$32,2,FALSE))</f>
        <v>8</v>
      </c>
      <c r="J11" s="65" t="s">
        <v>483</v>
      </c>
      <c r="K11" s="66" t="str">
        <f>IF(ISBLANK($J11),"",IF(ISBLANK(VLOOKUP($J11,定义!$D$3:$O$34,K$5,FALSE)),"",VLOOKUP($J11,定义!$D$3:$O$34,K$5,FALSE)))</f>
        <v>X轴水平位移(int)</v>
      </c>
      <c r="L11" s="67">
        <v>20</v>
      </c>
      <c r="M11" s="66" t="str">
        <f>IF(ISBLANK($J11),"",IF(ISBLANK(VLOOKUP($J11,定义!$D$3:$O$34,M$5,FALSE)),"",VLOOKUP($J11,定义!$D$3:$O$34,M$5,FALSE)))</f>
        <v>打飞高度(int)</v>
      </c>
      <c r="N11" s="67">
        <v>100</v>
      </c>
      <c r="O11" s="66" t="str">
        <f>IF(ISBLANK($J11),"",IF(ISBLANK(VLOOKUP($J11,定义!$D$3:$O$34,O$5,FALSE)),"",VLOOKUP($J11,定义!$D$3:$O$34,O$5,FALSE)))</f>
        <v>Z轴纵深位移(int)</v>
      </c>
      <c r="P11" s="67">
        <v>0</v>
      </c>
      <c r="Q11" s="66" t="str">
        <f>IF(ISBLANK($J11),"",IF(ISBLANK(VLOOKUP($J11,定义!$D$3:$O$34,Q$5,FALSE)),"",VLOOKUP($J11,定义!$D$3:$O$34,Q$5,FALSE)))</f>
        <v>最高点时间(float)</v>
      </c>
      <c r="R11" s="67">
        <v>0.1</v>
      </c>
      <c r="S11" s="66" t="str">
        <f>IF(ISBLANK($J11),"",IF(ISBLANK(VLOOKUP($J11,定义!$D$3:$O$34,S$5,FALSE)),"",VLOOKUP($J11,定义!$D$3:$O$34,S$5,FALSE)))</f>
        <v>最大高度限制(int)</v>
      </c>
      <c r="T11" s="67">
        <v>100</v>
      </c>
      <c r="U11" s="66" t="str">
        <f>IF(ISBLANK($J11),"",IF(ISBLANK(VLOOKUP($J11,定义!$D$3:$O$34,U$5,FALSE)),"",VLOOKUP($J11,定义!$D$3:$O$34,U$5,FALSE)))</f>
        <v xml:space="preserve">上升是否要重力
1 要 0 不要
默认0
</v>
      </c>
      <c r="V11" s="67"/>
      <c r="W11" s="66"/>
      <c r="X11" s="67"/>
      <c r="Y11" s="71"/>
      <c r="Z11" s="67"/>
      <c r="AA11" s="71"/>
      <c r="AB11" s="67"/>
      <c r="AC11" s="71"/>
      <c r="AD11" s="67"/>
      <c r="AE11" s="61"/>
      <c r="AF11" s="70"/>
    </row>
    <row r="12" spans="1:32" ht="49.5" customHeight="1">
      <c r="A12" s="61">
        <f>ROW()</f>
        <v>12</v>
      </c>
      <c r="B12" s="61"/>
      <c r="C12" s="62">
        <v>10001</v>
      </c>
      <c r="D12" s="63">
        <v>0.2</v>
      </c>
      <c r="E12" s="62">
        <v>1</v>
      </c>
      <c r="F12" s="62"/>
      <c r="G12" s="61"/>
      <c r="H12" s="59" t="s">
        <v>497</v>
      </c>
      <c r="I12" s="64">
        <f>IF(ISBLANK(J12),"",VLOOKUP(J12,定义!$D$3:$E$32,2,FALSE))</f>
        <v>3</v>
      </c>
      <c r="J12" s="65" t="s">
        <v>507</v>
      </c>
      <c r="K12" s="66" t="str">
        <f>IF(ISBLANK($J12),"",IF(ISBLANK(VLOOKUP($J12,定义!$D$3:$O$34,K$5,FALSE)),"",VLOOKUP($J12,定义!$D$3:$O$34,K$5,FALSE)))</f>
        <v>特效制件名字(string)</v>
      </c>
      <c r="L12" s="67" t="s">
        <v>512</v>
      </c>
      <c r="M12" s="66" t="str">
        <f>IF(ISBLANK($J12),"",IF(ISBLANK(VLOOKUP($J12,定义!$D$3:$O$34,M$5,FALSE)),"",VLOOKUP($J12,定义!$D$3:$O$34,M$5,FALSE)))</f>
        <v>特效时间(无效)</v>
      </c>
      <c r="N12" s="67"/>
      <c r="O12" s="66" t="str">
        <f>IF(ISBLANK($J12),"",IF(ISBLANK(VLOOKUP($J12,定义!$D$3:$O$34,O$5,FALSE)),"",VLOOKUP($J12,定义!$D$3:$O$34,O$5,FALSE)))</f>
        <v>旋转(min|max)</v>
      </c>
      <c r="P12" s="67" t="s">
        <v>513</v>
      </c>
      <c r="Q12" s="66" t="str">
        <f>IF(ISBLANK($J12),"",IF(ISBLANK(VLOOKUP($J12,定义!$D$3:$O$34,Q$5,FALSE)),"",VLOOKUP($J12,定义!$D$3:$O$34,Q$5,FALSE)))</f>
        <v>缩放(min|max)</v>
      </c>
      <c r="R12" s="67" t="s">
        <v>514</v>
      </c>
      <c r="S12" s="66" t="str">
        <f>IF(ISBLANK($J12),"",IF(ISBLANK(VLOOKUP($J12,定义!$D$3:$O$34,S$5,FALSE)),"",VLOOKUP($J12,定义!$D$3:$O$34,S$5,FALSE)))</f>
        <v>偏移(x|y|z)默认值(0|80|0)</v>
      </c>
      <c r="T12" s="67"/>
      <c r="U12" s="66" t="str">
        <f>IF(ISBLANK($J12),"",IF(ISBLANK(VLOOKUP($J12,定义!$D$3:$O$34,U$5,FALSE)),"",VLOOKUP($J12,定义!$D$3:$O$34,U$5,FALSE)))</f>
        <v/>
      </c>
      <c r="V12" s="67"/>
      <c r="W12" s="66"/>
      <c r="X12" s="67"/>
      <c r="Y12" s="71"/>
      <c r="Z12" s="67"/>
      <c r="AA12" s="71"/>
      <c r="AB12" s="67"/>
      <c r="AC12" s="71"/>
      <c r="AD12" s="67"/>
      <c r="AE12" s="61"/>
      <c r="AF12" s="70"/>
    </row>
    <row r="13" spans="1:32" ht="40.5">
      <c r="A13" s="61" t="s">
        <v>502</v>
      </c>
      <c r="B13" s="61"/>
      <c r="C13" s="62">
        <v>10001</v>
      </c>
      <c r="D13" s="63">
        <v>0.2</v>
      </c>
      <c r="E13" s="62">
        <v>1</v>
      </c>
      <c r="F13" s="62"/>
      <c r="G13" s="61"/>
      <c r="H13" s="59" t="s">
        <v>497</v>
      </c>
      <c r="I13" s="64">
        <f>IF(ISBLANK(J13),"",VLOOKUP(J13,定义!$D$3:$E$32,2,FALSE))</f>
        <v>5</v>
      </c>
      <c r="J13" s="65" t="s">
        <v>504</v>
      </c>
      <c r="K13" s="66" t="str">
        <f>IF(ISBLANK($J13),"",IF(ISBLANK(VLOOKUP($J13,定义!$D$3:$O$34,K$5,FALSE)),"",VLOOKUP($J13,定义!$D$3:$O$34,K$5,FALSE)))</f>
        <v>硬值时间(float)</v>
      </c>
      <c r="L13" s="67">
        <v>1</v>
      </c>
      <c r="M13" s="66" t="str">
        <f>IF(ISBLANK($J13),"",IF(ISBLANK(VLOOKUP($J13,定义!$D$3:$O$34,M$5,FALSE)),"",VLOOKUP($J13,定义!$D$3:$O$34,M$5,FALSE)))</f>
        <v>受击动作（默认值0，受击动作hurt1）</v>
      </c>
      <c r="N13" s="67">
        <v>0</v>
      </c>
      <c r="O13" s="66" t="str">
        <f>IF(ISBLANK($J13),"",IF(ISBLANK(VLOOKUP($J13,定义!$D$3:$O$34,O$5,FALSE)),"",VLOOKUP($J13,定义!$D$3:$O$34,O$5,FALSE)))</f>
        <v/>
      </c>
      <c r="P13" s="67"/>
      <c r="Q13" s="66"/>
      <c r="R13" s="67"/>
      <c r="S13" s="66"/>
      <c r="T13" s="67"/>
      <c r="U13" s="66"/>
      <c r="V13" s="67"/>
      <c r="W13" s="66"/>
      <c r="X13" s="67"/>
      <c r="Y13" s="71"/>
      <c r="Z13" s="67"/>
      <c r="AA13" s="71"/>
      <c r="AB13" s="67"/>
      <c r="AC13" s="71"/>
      <c r="AD13" s="67"/>
      <c r="AE13" s="61"/>
      <c r="AF13" s="70"/>
    </row>
    <row r="14" spans="1:32" ht="34.5" customHeight="1">
      <c r="A14" s="61">
        <f>ROW()</f>
        <v>14</v>
      </c>
      <c r="B14" s="61"/>
      <c r="C14" s="62">
        <v>10001</v>
      </c>
      <c r="D14" s="63">
        <v>0.2</v>
      </c>
      <c r="E14" s="62">
        <v>1</v>
      </c>
      <c r="F14" s="62"/>
      <c r="G14" s="61"/>
      <c r="H14" s="59"/>
      <c r="I14" s="64">
        <f>IF(ISBLANK(J14),"",VLOOKUP(J14,定义!$D$3:$E$32,2,FALSE))</f>
        <v>2</v>
      </c>
      <c r="J14" s="65" t="s">
        <v>495</v>
      </c>
      <c r="K14" s="66" t="str">
        <f>IF(ISBLANK($J14),"",IF(ISBLANK(VLOOKUP($J14,定义!$D$3:$O$34,K$5,FALSE)),"",VLOOKUP($J14,定义!$D$3:$O$34,K$5,FALSE)))</f>
        <v>停顿时间(float)</v>
      </c>
      <c r="L14" s="67">
        <v>0.1</v>
      </c>
      <c r="M14" s="66" t="str">
        <f>IF(ISBLANK($J14),"",IF(ISBLANK(VLOOKUP($J14,定义!$D$3:$O$34,M$5,FALSE)),"",VLOOKUP($J14,定义!$D$3:$O$34,M$5,FALSE)))</f>
        <v>需要存在目标（1需要，0不需要）</v>
      </c>
      <c r="N14" s="67">
        <v>1</v>
      </c>
      <c r="O14" s="66" t="str">
        <f>IF(ISBLANK($J14),"",IF(ISBLANK(VLOOKUP($J14,定义!$D$3:$O$34,O$5,FALSE)),"",VLOOKUP($J14,定义!$D$3:$O$34,O$5,FALSE)))</f>
        <v/>
      </c>
      <c r="P14" s="67"/>
      <c r="Q14" s="66" t="str">
        <f>IF(ISBLANK($J14),"",IF(ISBLANK(VLOOKUP($J14,定义!$D$3:$O$34,Q$5,FALSE)),"",VLOOKUP($J14,定义!$D$3:$O$34,Q$5,FALSE)))</f>
        <v/>
      </c>
      <c r="R14" s="67"/>
      <c r="S14" s="66" t="str">
        <f>IF(ISBLANK($J14),"",IF(ISBLANK(VLOOKUP($J14,定义!$D$3:$O$34,S$5,FALSE)),"",VLOOKUP($J14,定义!$D$3:$O$34,S$5,FALSE)))</f>
        <v/>
      </c>
      <c r="T14" s="67"/>
      <c r="U14" s="66" t="str">
        <f>IF(ISBLANK($J14),"",IF(ISBLANK(VLOOKUP($J14,定义!$D$3:$O$34,U$5,FALSE)),"",VLOOKUP($J14,定义!$D$3:$O$34,U$5,FALSE)))</f>
        <v/>
      </c>
      <c r="V14" s="67"/>
      <c r="W14" s="66"/>
      <c r="X14" s="67"/>
      <c r="Y14" s="71"/>
      <c r="Z14" s="67"/>
      <c r="AA14" s="71"/>
      <c r="AB14" s="67"/>
      <c r="AC14" s="71"/>
      <c r="AD14" s="67"/>
      <c r="AE14" s="61"/>
      <c r="AF14" s="70"/>
    </row>
    <row r="15" spans="1:32" ht="34.5" customHeight="1">
      <c r="A15" s="61">
        <f>ROW()</f>
        <v>15</v>
      </c>
      <c r="B15" s="61"/>
      <c r="C15" s="62">
        <v>10001</v>
      </c>
      <c r="D15" s="63">
        <v>0.2</v>
      </c>
      <c r="E15" s="62">
        <v>1</v>
      </c>
      <c r="F15" s="62"/>
      <c r="G15" s="61"/>
      <c r="H15" s="59" t="s">
        <v>498</v>
      </c>
      <c r="I15" s="64">
        <f>IF(ISBLANK(J15),"",VLOOKUP(J15,定义!$D$3:$E$32,2,FALSE))</f>
        <v>6</v>
      </c>
      <c r="J15" s="65" t="s">
        <v>496</v>
      </c>
      <c r="K15" s="66" t="str">
        <f>IF(ISBLANK($J15),"",IF(ISBLANK(VLOOKUP($J15,定义!$D$3:$O$34,K$5,FALSE)),"",VLOOKUP($J15,定义!$D$3:$O$34,K$5,FALSE)))</f>
        <v>停顿时间(float)</v>
      </c>
      <c r="L15" s="67">
        <v>0.1</v>
      </c>
      <c r="M15" s="66" t="str">
        <f>IF(ISBLANK($J15),"",IF(ISBLANK(VLOOKUP($J15,定义!$D$3:$O$34,M$5,FALSE)),"",VLOOKUP($J15,定义!$D$3:$O$34,M$5,FALSE)))</f>
        <v/>
      </c>
      <c r="N15" s="67"/>
      <c r="O15" s="66" t="str">
        <f>IF(ISBLANK($J15),"",IF(ISBLANK(VLOOKUP($J15,定义!$D$3:$O$34,O$5,FALSE)),"",VLOOKUP($J15,定义!$D$3:$O$34,O$5,FALSE)))</f>
        <v/>
      </c>
      <c r="P15" s="67"/>
      <c r="Q15" s="66" t="str">
        <f>IF(ISBLANK($J15),"",IF(ISBLANK(VLOOKUP($J15,定义!$D$3:$O$34,Q$5,FALSE)),"",VLOOKUP($J15,定义!$D$3:$O$34,Q$5,FALSE)))</f>
        <v/>
      </c>
      <c r="R15" s="67"/>
      <c r="S15" s="66" t="str">
        <f>IF(ISBLANK($J15),"",IF(ISBLANK(VLOOKUP($J15,定义!$D$3:$O$34,S$5,FALSE)),"",VLOOKUP($J15,定义!$D$3:$O$34,S$5,FALSE)))</f>
        <v/>
      </c>
      <c r="T15" s="67"/>
      <c r="U15" s="66"/>
      <c r="V15" s="67"/>
      <c r="W15" s="66"/>
      <c r="X15" s="67"/>
      <c r="Y15" s="71"/>
      <c r="Z15" s="67"/>
      <c r="AA15" s="71"/>
      <c r="AB15" s="67"/>
      <c r="AC15" s="71"/>
      <c r="AD15" s="67"/>
      <c r="AE15" s="61"/>
      <c r="AF15" s="70"/>
    </row>
    <row r="16" spans="1:32" ht="32.25" customHeight="1">
      <c r="A16" s="61" t="s">
        <v>502</v>
      </c>
      <c r="B16" s="61"/>
      <c r="C16" s="62">
        <v>10001</v>
      </c>
      <c r="D16" s="63">
        <v>0.2</v>
      </c>
      <c r="E16" s="62">
        <v>1</v>
      </c>
      <c r="F16" s="62"/>
      <c r="G16" s="61"/>
      <c r="H16" s="59" t="s">
        <v>492</v>
      </c>
      <c r="I16" s="64">
        <f>IF(ISBLANK(J16),"",VLOOKUP(J16,定义!$D$3:$E$32,2,FALSE))</f>
        <v>7</v>
      </c>
      <c r="J16" s="65" t="s">
        <v>477</v>
      </c>
      <c r="K16" s="66" t="str">
        <f>IF(ISBLANK($J16),"",IF(ISBLANK(VLOOKUP($J16,定义!$D$3:$O$34,K$5,FALSE)),"",VLOOKUP($J16,定义!$D$3:$O$34,K$5,FALSE)))</f>
        <v>X轴水平位移(int)</v>
      </c>
      <c r="L16" s="67">
        <v>50</v>
      </c>
      <c r="M16" s="66" t="str">
        <f>IF(ISBLANK($J16),"",IF(ISBLANK(VLOOKUP($J16,定义!$D$3:$O$34,M$5,FALSE)),"",VLOOKUP($J16,定义!$D$3:$O$34,M$5,FALSE)))</f>
        <v>Z轴纵深位移(int)</v>
      </c>
      <c r="N16" s="67">
        <v>0</v>
      </c>
      <c r="O16" s="66" t="str">
        <f>IF(ISBLANK($J16),"",IF(ISBLANK(VLOOKUP($J16,定义!$D$3:$O$34,O$5,FALSE)),"",VLOOKUP($J16,定义!$D$3:$O$34,O$5,FALSE)))</f>
        <v>移动总时间(float)</v>
      </c>
      <c r="P16" s="67">
        <v>0.5</v>
      </c>
      <c r="Q16" s="66" t="str">
        <f>IF(ISBLANK($J16),"",IF(ISBLANK(VLOOKUP($J16,定义!$D$3:$O$34,Q$5,FALSE)),"",VLOOKUP($J16,定义!$D$3:$O$34,Q$5,FALSE)))</f>
        <v/>
      </c>
      <c r="R16" s="67"/>
      <c r="S16" s="66" t="str">
        <f>IF(ISBLANK($J16),"",IF(ISBLANK(VLOOKUP($J16,定义!$D$3:$O$34,S$5,FALSE)),"",VLOOKUP($J16,定义!$D$3:$O$34,S$5,FALSE)))</f>
        <v/>
      </c>
      <c r="T16" s="67"/>
      <c r="U16" s="66" t="str">
        <f>IF(ISBLANK($J16),"",IF(ISBLANK(VLOOKUP($J16,定义!$D$3:$O$34,U$5,FALSE)),"",VLOOKUP($J16,定义!$D$3:$O$34,U$5,FALSE)))</f>
        <v/>
      </c>
      <c r="V16" s="67"/>
      <c r="W16" s="66"/>
      <c r="X16" s="67"/>
      <c r="Y16" s="71"/>
      <c r="Z16" s="67"/>
      <c r="AA16" s="71"/>
      <c r="AB16" s="67"/>
      <c r="AC16" s="71"/>
      <c r="AD16" s="67"/>
      <c r="AE16" s="61"/>
      <c r="AF16" s="70"/>
    </row>
    <row r="17" spans="1:32" s="42" customFormat="1">
      <c r="A17" s="62" t="s">
        <v>485</v>
      </c>
      <c r="B17" s="62"/>
      <c r="C17" s="62"/>
      <c r="D17" s="63"/>
      <c r="E17" s="62"/>
      <c r="F17" s="62"/>
      <c r="G17" s="62"/>
      <c r="H17" s="72"/>
      <c r="I17" s="73"/>
      <c r="J17" s="73"/>
      <c r="K17" s="74"/>
      <c r="L17" s="75"/>
      <c r="M17" s="74"/>
      <c r="N17" s="75"/>
      <c r="O17" s="74"/>
      <c r="P17" s="75"/>
      <c r="Q17" s="74"/>
      <c r="R17" s="75"/>
      <c r="S17" s="74"/>
      <c r="T17" s="75"/>
      <c r="U17" s="74"/>
      <c r="V17" s="75"/>
      <c r="W17" s="76"/>
      <c r="X17" s="75"/>
      <c r="Y17" s="62"/>
      <c r="Z17" s="75"/>
      <c r="AA17" s="62"/>
      <c r="AB17" s="75"/>
      <c r="AC17" s="62"/>
      <c r="AD17" s="75"/>
      <c r="AE17" s="62"/>
      <c r="AF17" s="63"/>
    </row>
    <row r="18" spans="1:32" ht="27">
      <c r="A18" s="61" t="s">
        <v>521</v>
      </c>
      <c r="B18" s="61"/>
      <c r="C18" s="62">
        <v>20001</v>
      </c>
      <c r="D18" s="63">
        <v>0</v>
      </c>
      <c r="E18" s="62">
        <v>0</v>
      </c>
      <c r="F18" s="62">
        <v>0</v>
      </c>
      <c r="G18" s="61">
        <v>0</v>
      </c>
      <c r="H18" s="59"/>
      <c r="I18" s="64">
        <f>IF(ISBLANK(J18),"",VLOOKUP(J18,定义!$D$3:$E$32,2,FALSE))</f>
        <v>11</v>
      </c>
      <c r="J18" s="65" t="s">
        <v>291</v>
      </c>
      <c r="K18" s="66" t="str">
        <f>IF(ISBLANK($J18),"",IF(ISBLANK(VLOOKUP($J18,定义!$D$3:$O$34,K$5,FALSE)),"",VLOOKUP($J18,定义!$D$3:$O$34,K$5,FALSE)))</f>
        <v>X轴水平位移(int)</v>
      </c>
      <c r="L18" s="67">
        <v>30</v>
      </c>
      <c r="M18" s="66" t="str">
        <f>IF(ISBLANK($J18),"",IF(ISBLANK(VLOOKUP($J18,定义!$D$3:$O$34,M$5,FALSE)),"",VLOOKUP($J18,定义!$D$3:$O$34,M$5,FALSE)))</f>
        <v>Z轴纵深位移(int)</v>
      </c>
      <c r="N18" s="67">
        <v>0</v>
      </c>
      <c r="O18" s="66" t="str">
        <f>IF(ISBLANK($J18),"",IF(ISBLANK(VLOOKUP($J18,定义!$D$3:$O$34,O$5,FALSE)),"",VLOOKUP($J18,定义!$D$3:$O$34,O$5,FALSE)))</f>
        <v>移动过程时间
秒为单位(float)</v>
      </c>
      <c r="P18" s="67">
        <v>0.5</v>
      </c>
      <c r="Q18" s="66" t="str">
        <f>IF(ISBLANK($J18),"",IF(ISBLANK(VLOOKUP($J18,定义!$D$3:$O$34,Q$5,FALSE)),"",VLOOKUP($J18,定义!$D$3:$O$34,Q$5,FALSE)))</f>
        <v/>
      </c>
      <c r="R18" s="67"/>
      <c r="S18" s="66" t="str">
        <f>IF(ISBLANK($J18),"",IF(ISBLANK(VLOOKUP($J18,定义!$D$3:$O$34,S$5,FALSE)),"",VLOOKUP($J18,定义!$D$3:$O$34,S$5,FALSE)))</f>
        <v/>
      </c>
      <c r="T18" s="67"/>
      <c r="U18" s="66" t="str">
        <f>IF(ISBLANK($J18),"",IF(ISBLANK(VLOOKUP($J18,定义!$D$3:$O$34,U$5,FALSE)),"",VLOOKUP($J18,定义!$D$3:$O$34,U$5,FALSE)))</f>
        <v/>
      </c>
      <c r="V18" s="67"/>
      <c r="W18" s="68" t="str">
        <f>IF(ISBLANK($J18),"",IF(ISBLANK(VLOOKUP($J18,定义!$D$3:$O$34,W$5,FALSE)),"",VLOOKUP($J18,定义!$D$3:$O$34,W$5,FALSE)))</f>
        <v/>
      </c>
      <c r="X18" s="67"/>
      <c r="Y18" s="69" t="str">
        <f>IF(ISBLANK($J18),"",IF(ISBLANK(VLOOKUP($J18,定义!$D$3:$O$34,Y$5,FALSE)),"",VLOOKUP($J18,定义!$D$3:$O$34,Y$5,FALSE)))</f>
        <v/>
      </c>
      <c r="Z18" s="67"/>
      <c r="AA18" s="69" t="str">
        <f>IF(ISBLANK($J18),"",IF(ISBLANK(VLOOKUP($J18,定义!$D$3:$O$34,AA$5,FALSE)),"",VLOOKUP($J18,定义!$D$3:$O$34,AA$5,FALSE)))</f>
        <v/>
      </c>
      <c r="AB18" s="67"/>
      <c r="AC18" s="69" t="str">
        <f>IF(ISBLANK($J18),"",IF(ISBLANK(VLOOKUP($J18,定义!$D$3:$O$34,AC$5,FALSE)),"",VLOOKUP($J18,定义!$D$3:$O$34,AC$5,FALSE)))</f>
        <v/>
      </c>
      <c r="AD18" s="67"/>
      <c r="AE18" s="61">
        <v>0</v>
      </c>
      <c r="AF18" s="70">
        <v>0</v>
      </c>
    </row>
    <row r="19" spans="1:32" ht="94.5">
      <c r="A19" s="61">
        <f>ROW()</f>
        <v>19</v>
      </c>
      <c r="B19" s="61"/>
      <c r="C19" s="62">
        <v>20001</v>
      </c>
      <c r="D19" s="63">
        <v>0.2</v>
      </c>
      <c r="E19" s="62"/>
      <c r="F19" s="62"/>
      <c r="G19" s="61"/>
      <c r="H19" s="59"/>
      <c r="I19" s="64">
        <f>IF(ISBLANK(J19),"",VLOOKUP(J19,定义!$D$3:$E$32,2,FALSE))</f>
        <v>18</v>
      </c>
      <c r="J19" s="65" t="s">
        <v>463</v>
      </c>
      <c r="K19" s="66" t="str">
        <f>IF(ISBLANK($J19),"",IF(ISBLANK(VLOOKUP($J19,定义!$D$3:$O$34,K$5,FALSE)),"",VLOOKUP($J19,定义!$D$3:$O$34,K$5,FALSE)))</f>
        <v>监听类型
0.立即执行
1.点击该技能按钮
2.持续按住该技能松开后(蓄力)
3.点击任一技能按钮
4.进行移动操作</v>
      </c>
      <c r="L19" s="67">
        <v>1</v>
      </c>
      <c r="M19" s="66" t="str">
        <f>IF(ISBLANK($J19),"",IF(ISBLANK(VLOOKUP($J19,定义!$D$3:$O$34,M$5,FALSE)),"",VLOOKUP($J19,定义!$D$3:$O$34,M$5,FALSE)))</f>
        <v>监听时长
0则为招式结束时结束监听
超出招式时间即使招式结束监听仍然有效</v>
      </c>
      <c r="N19" s="67">
        <v>0</v>
      </c>
      <c r="O19" s="66" t="str">
        <f>IF(ISBLANK($J19),"",IF(ISBLANK(VLOOKUP($J19,定义!$D$3:$O$34,O$5,FALSE)),"",VLOOKUP($J19,定义!$D$3:$O$34,O$5,FALSE)))</f>
        <v>执行指令
1.中断技能
2.跳转技能ID
3.取消技能CD(即在该监听过程中不进入技能CD)
4.恢复技能CD</v>
      </c>
      <c r="P19" s="67">
        <v>2</v>
      </c>
      <c r="Q19" s="66" t="str">
        <f>IF(ISBLANK($J19),"",IF(ISBLANK(VLOOKUP($J19,定义!$D$3:$O$34,Q$5,FALSE)),"",VLOOKUP($J19,定义!$D$3:$O$34,Q$5,FALSE)))</f>
        <v>对应指令参数1
指令1：无
指令2：技能ID
指令3：
指令4：</v>
      </c>
      <c r="R19" s="67">
        <v>3</v>
      </c>
      <c r="S19" s="66" t="str">
        <f>IF(ISBLANK($J19),"",IF(ISBLANK(VLOOKUP($J19,定义!$D$3:$O$34,S$5,FALSE)),"",VLOOKUP($J19,定义!$D$3:$O$34,S$5,FALSE)))</f>
        <v/>
      </c>
      <c r="T19" s="67"/>
      <c r="U19" s="66" t="str">
        <f>IF(ISBLANK($J19),"",IF(ISBLANK(VLOOKUP($J19,定义!$D$3:$O$34,U$5,FALSE)),"",VLOOKUP($J19,定义!$D$3:$O$34,U$5,FALSE)))</f>
        <v/>
      </c>
      <c r="V19" s="67"/>
      <c r="W19" s="68" t="str">
        <f>IF(ISBLANK($J19),"",IF(ISBLANK(VLOOKUP($J19,定义!$D$3:$O$34,W$5,FALSE)),"",VLOOKUP($J19,定义!$D$3:$O$34,W$5,FALSE)))</f>
        <v/>
      </c>
      <c r="X19" s="67"/>
      <c r="Y19" s="71"/>
      <c r="Z19" s="67"/>
      <c r="AA19" s="71"/>
      <c r="AB19" s="67"/>
      <c r="AC19" s="71"/>
      <c r="AD19" s="67"/>
      <c r="AE19" s="61">
        <v>0</v>
      </c>
      <c r="AF19" s="70">
        <v>0</v>
      </c>
    </row>
    <row r="20" spans="1:32" ht="33.75" customHeight="1">
      <c r="A20" s="61">
        <f>ROW()</f>
        <v>20</v>
      </c>
      <c r="B20" s="61"/>
      <c r="C20" s="62">
        <v>20001</v>
      </c>
      <c r="D20" s="63">
        <v>0.2</v>
      </c>
      <c r="E20" s="62">
        <v>2</v>
      </c>
      <c r="F20" s="62"/>
      <c r="G20" s="61"/>
      <c r="H20" s="59" t="s">
        <v>473</v>
      </c>
      <c r="I20" s="64">
        <f>IF(ISBLANK(J20),"",VLOOKUP(J20,定义!$D$3:$E$32,2,FALSE))</f>
        <v>31</v>
      </c>
      <c r="J20" s="65" t="s">
        <v>465</v>
      </c>
      <c r="K20" s="66" t="str">
        <f>IF(ISBLANK($J20),"",IF(ISBLANK(VLOOKUP($J20,定义!$D$3:$O$34,K$5,FALSE)),"",VLOOKUP($J20,定义!$D$3:$O$34,K$5,FALSE)))</f>
        <v>minX(int)</v>
      </c>
      <c r="L20" s="67">
        <v>0</v>
      </c>
      <c r="M20" s="66" t="str">
        <f>IF(ISBLANK($J20),"",IF(ISBLANK(VLOOKUP($J20,定义!$D$3:$O$34,M$5,FALSE)),"",VLOOKUP($J20,定义!$D$3:$O$34,M$5,FALSE)))</f>
        <v>maxX(int)</v>
      </c>
      <c r="N20" s="67">
        <v>200</v>
      </c>
      <c r="O20" s="66" t="str">
        <f>IF(ISBLANK($J20),"",IF(ISBLANK(VLOOKUP($J20,定义!$D$3:$O$34,O$5,FALSE)),"",VLOOKUP($J20,定义!$D$3:$O$34,O$5,FALSE)))</f>
        <v>minY(int)</v>
      </c>
      <c r="P20" s="67">
        <v>0</v>
      </c>
      <c r="Q20" s="66" t="str">
        <f>IF(ISBLANK($J20),"",IF(ISBLANK(VLOOKUP($J20,定义!$D$3:$O$34,Q$5,FALSE)),"",VLOOKUP($J20,定义!$D$3:$O$34,Q$5,FALSE)))</f>
        <v>maxY(int)</v>
      </c>
      <c r="R20" s="67">
        <v>101</v>
      </c>
      <c r="S20" s="66" t="str">
        <f>IF(ISBLANK($J20),"",IF(ISBLANK(VLOOKUP($J20,定义!$D$3:$O$34,S$5,FALSE)),"",VLOOKUP($J20,定义!$D$3:$O$34,S$5,FALSE)))</f>
        <v>minZ(int)</v>
      </c>
      <c r="T20" s="67">
        <v>-50</v>
      </c>
      <c r="U20" s="66" t="str">
        <f>IF(ISBLANK($J20),"",IF(ISBLANK(VLOOKUP($J20,定义!$D$3:$O$34,U$5,FALSE)),"",VLOOKUP($J20,定义!$D$3:$O$34,U$5,FALSE)))</f>
        <v>maxZ(int)</v>
      </c>
      <c r="V20" s="67">
        <v>50</v>
      </c>
      <c r="W20" s="66" t="str">
        <f>IF(ISBLANK($J20),"",IF(ISBLANK(VLOOKUP($J20,定义!$D$3:$O$34,W$5,FALSE)),"",VLOOKUP($J20,定义!$D$3:$O$34,W$5,FALSE)))</f>
        <v/>
      </c>
      <c r="X20" s="67"/>
      <c r="Y20" s="71"/>
      <c r="Z20" s="67"/>
      <c r="AA20" s="71"/>
      <c r="AB20" s="67"/>
      <c r="AC20" s="71"/>
      <c r="AD20" s="67"/>
      <c r="AE20" s="61">
        <v>0</v>
      </c>
      <c r="AF20" s="70">
        <v>0</v>
      </c>
    </row>
    <row r="21" spans="1:32" ht="34.5" customHeight="1">
      <c r="A21" s="61">
        <f>ROW()</f>
        <v>21</v>
      </c>
      <c r="B21" s="61"/>
      <c r="C21" s="62">
        <v>20001</v>
      </c>
      <c r="D21" s="63">
        <v>0.2</v>
      </c>
      <c r="E21" s="62">
        <v>2</v>
      </c>
      <c r="F21" s="62"/>
      <c r="G21" s="61"/>
      <c r="H21" s="59" t="s">
        <v>520</v>
      </c>
      <c r="I21" s="64">
        <f>IF(ISBLANK(J21),"",VLOOKUP(J21,定义!$D$3:$E$32,2,FALSE))</f>
        <v>2</v>
      </c>
      <c r="J21" s="65" t="s">
        <v>495</v>
      </c>
      <c r="K21" s="66" t="str">
        <f>IF(ISBLANK($J21),"",IF(ISBLANK(VLOOKUP($J21,定义!$D$3:$O$34,K$5,FALSE)),"",VLOOKUP($J21,定义!$D$3:$O$34,K$5,FALSE)))</f>
        <v>停顿时间(float)</v>
      </c>
      <c r="L21" s="67">
        <v>0.2</v>
      </c>
      <c r="M21" s="66" t="str">
        <f>IF(ISBLANK($J21),"",IF(ISBLANK(VLOOKUP($J21,定义!$D$3:$O$34,M$5,FALSE)),"",VLOOKUP($J21,定义!$D$3:$O$34,M$5,FALSE)))</f>
        <v>需要存在目标（1需要，0不需要）</v>
      </c>
      <c r="N21" s="67">
        <v>1</v>
      </c>
      <c r="O21" s="66" t="str">
        <f>IF(ISBLANK($J21),"",IF(ISBLANK(VLOOKUP($J21,定义!$D$3:$O$34,O$5,FALSE)),"",VLOOKUP($J21,定义!$D$3:$O$34,O$5,FALSE)))</f>
        <v/>
      </c>
      <c r="P21" s="67"/>
      <c r="Q21" s="66" t="str">
        <f>IF(ISBLANK($J21),"",IF(ISBLANK(VLOOKUP($J21,定义!$D$3:$O$34,Q$5,FALSE)),"",VLOOKUP($J21,定义!$D$3:$O$34,Q$5,FALSE)))</f>
        <v/>
      </c>
      <c r="R21" s="67"/>
      <c r="S21" s="66" t="str">
        <f>IF(ISBLANK($J21),"",IF(ISBLANK(VLOOKUP($J21,定义!$D$3:$O$34,S$5,FALSE)),"",VLOOKUP($J21,定义!$D$3:$O$34,S$5,FALSE)))</f>
        <v/>
      </c>
      <c r="T21" s="67"/>
      <c r="U21" s="66" t="str">
        <f>IF(ISBLANK($J21),"",IF(ISBLANK(VLOOKUP($J21,定义!$D$3:$O$34,U$5,FALSE)),"",VLOOKUP($J21,定义!$D$3:$O$34,U$5,FALSE)))</f>
        <v/>
      </c>
      <c r="V21" s="67"/>
      <c r="W21" s="66"/>
      <c r="X21" s="67"/>
      <c r="Y21" s="71"/>
      <c r="Z21" s="67"/>
      <c r="AA21" s="71"/>
      <c r="AB21" s="67"/>
      <c r="AC21" s="71"/>
      <c r="AD21" s="67"/>
      <c r="AE21" s="61"/>
      <c r="AF21" s="70"/>
    </row>
    <row r="22" spans="1:32" ht="34.5" customHeight="1">
      <c r="A22" s="61">
        <f>ROW()</f>
        <v>22</v>
      </c>
      <c r="B22" s="61"/>
      <c r="C22" s="62">
        <v>20001</v>
      </c>
      <c r="D22" s="63">
        <v>0.2</v>
      </c>
      <c r="E22" s="62">
        <v>2</v>
      </c>
      <c r="F22" s="62"/>
      <c r="G22" s="61"/>
      <c r="H22" s="59" t="s">
        <v>520</v>
      </c>
      <c r="I22" s="64">
        <f>IF(ISBLANK(J22),"",VLOOKUP(J22,定义!$D$3:$E$32,2,FALSE))</f>
        <v>6</v>
      </c>
      <c r="J22" s="65" t="s">
        <v>496</v>
      </c>
      <c r="K22" s="66" t="str">
        <f>IF(ISBLANK($J22),"",IF(ISBLANK(VLOOKUP($J22,定义!$D$3:$O$34,K$5,FALSE)),"",VLOOKUP($J22,定义!$D$3:$O$34,K$5,FALSE)))</f>
        <v>停顿时间(float)</v>
      </c>
      <c r="L22" s="67">
        <v>0.2</v>
      </c>
      <c r="M22" s="66" t="str">
        <f>IF(ISBLANK($J22),"",IF(ISBLANK(VLOOKUP($J22,定义!$D$3:$O$34,M$5,FALSE)),"",VLOOKUP($J22,定义!$D$3:$O$34,M$5,FALSE)))</f>
        <v/>
      </c>
      <c r="N22" s="67"/>
      <c r="O22" s="66" t="str">
        <f>IF(ISBLANK($J22),"",IF(ISBLANK(VLOOKUP($J22,定义!$D$3:$O$34,O$5,FALSE)),"",VLOOKUP($J22,定义!$D$3:$O$34,O$5,FALSE)))</f>
        <v/>
      </c>
      <c r="P22" s="67"/>
      <c r="Q22" s="66" t="str">
        <f>IF(ISBLANK($J22),"",IF(ISBLANK(VLOOKUP($J22,定义!$D$3:$O$34,Q$5,FALSE)),"",VLOOKUP($J22,定义!$D$3:$O$34,Q$5,FALSE)))</f>
        <v/>
      </c>
      <c r="R22" s="67"/>
      <c r="S22" s="66" t="str">
        <f>IF(ISBLANK($J22),"",IF(ISBLANK(VLOOKUP($J22,定义!$D$3:$O$34,S$5,FALSE)),"",VLOOKUP($J22,定义!$D$3:$O$34,S$5,FALSE)))</f>
        <v/>
      </c>
      <c r="T22" s="67"/>
      <c r="U22" s="66"/>
      <c r="V22" s="67"/>
      <c r="W22" s="66"/>
      <c r="X22" s="67"/>
      <c r="Y22" s="71"/>
      <c r="Z22" s="67"/>
      <c r="AA22" s="71"/>
      <c r="AB22" s="67"/>
      <c r="AC22" s="71"/>
      <c r="AD22" s="67"/>
      <c r="AE22" s="61"/>
      <c r="AF22" s="70"/>
    </row>
    <row r="23" spans="1:32" ht="27">
      <c r="A23" s="61">
        <f>ROW()</f>
        <v>23</v>
      </c>
      <c r="B23" s="61"/>
      <c r="C23" s="62">
        <v>20001</v>
      </c>
      <c r="D23" s="63">
        <v>0.2</v>
      </c>
      <c r="E23" s="62">
        <v>2</v>
      </c>
      <c r="F23" s="62"/>
      <c r="G23" s="61"/>
      <c r="H23" s="59" t="s">
        <v>476</v>
      </c>
      <c r="I23" s="64">
        <f>IF(ISBLANK(J23),"",VLOOKUP(J23,定义!$D$3:$E$32,2,FALSE))</f>
        <v>1</v>
      </c>
      <c r="J23" s="65" t="s">
        <v>466</v>
      </c>
      <c r="K23" s="66" t="str">
        <f>IF(ISBLANK($J23),"",IF(ISBLANK(VLOOKUP($J23,定义!$D$3:$O$34,K$5,FALSE)),"",VLOOKUP($J23,定义!$D$3:$O$34,K$5,FALSE)))</f>
        <v>伤害数值(int)</v>
      </c>
      <c r="L23" s="67">
        <v>300</v>
      </c>
      <c r="M23" s="66" t="str">
        <f>IF(ISBLANK($J23),"",IF(ISBLANK(VLOOKUP($J23,定义!$D$3:$O$34,M$5,FALSE)),"",VLOOKUP($J23,定义!$D$3:$O$34,M$5,FALSE)))</f>
        <v>伤害百分比(float)</v>
      </c>
      <c r="N23" s="67">
        <v>0</v>
      </c>
      <c r="O23" s="66" t="str">
        <f>IF(ISBLANK($J23),"",IF(ISBLANK(VLOOKUP($J23,定义!$D$3:$O$34,O$5,FALSE)),"",VLOOKUP($J23,定义!$D$3:$O$34,O$5,FALSE)))</f>
        <v/>
      </c>
      <c r="P23" s="67"/>
      <c r="Q23" s="66" t="str">
        <f>IF(ISBLANK($J23),"",IF(ISBLANK(VLOOKUP($J23,定义!$D$3:$O$34,Q$5,FALSE)),"",VLOOKUP($J23,定义!$D$3:$O$34,Q$5,FALSE)))</f>
        <v/>
      </c>
      <c r="R23" s="67"/>
      <c r="S23" s="66" t="str">
        <f>IF(ISBLANK($J23),"",IF(ISBLANK(VLOOKUP($J23,定义!$D$3:$O$34,S$5,FALSE)),"",VLOOKUP($J23,定义!$D$3:$O$34,S$5,FALSE)))</f>
        <v/>
      </c>
      <c r="T23" s="67"/>
      <c r="U23" s="66" t="str">
        <f>IF(ISBLANK($J23),"",IF(ISBLANK(VLOOKUP($J23,定义!$D$3:$O$34,U$5,FALSE)),"",VLOOKUP($J23,定义!$D$3:$O$34,U$5,FALSE)))</f>
        <v/>
      </c>
      <c r="V23" s="67"/>
      <c r="W23" s="68" t="str">
        <f>IF(ISBLANK($J23),"",IF(ISBLANK(VLOOKUP($J23,定义!$D$3:$O$34,W$5,FALSE)),"",VLOOKUP($J23,定义!$D$3:$O$34,W$5,FALSE)))</f>
        <v/>
      </c>
      <c r="X23" s="67"/>
      <c r="Y23" s="71"/>
      <c r="Z23" s="67"/>
      <c r="AA23" s="71"/>
      <c r="AB23" s="67"/>
      <c r="AC23" s="71"/>
      <c r="AD23" s="67"/>
      <c r="AE23" s="61">
        <v>0</v>
      </c>
      <c r="AF23" s="70">
        <v>0</v>
      </c>
    </row>
    <row r="24" spans="1:32" ht="34.5" customHeight="1">
      <c r="A24" s="61">
        <f>ROW()</f>
        <v>24</v>
      </c>
      <c r="B24" s="61"/>
      <c r="C24" s="62">
        <v>20001</v>
      </c>
      <c r="D24" s="63">
        <v>0.2</v>
      </c>
      <c r="E24" s="62">
        <v>2</v>
      </c>
      <c r="F24" s="62"/>
      <c r="G24" s="61"/>
      <c r="H24" s="59" t="s">
        <v>492</v>
      </c>
      <c r="I24" s="64">
        <f>IF(ISBLANK(J24),"",VLOOKUP(J24,定义!$D$3:$E$32,2,FALSE))</f>
        <v>9</v>
      </c>
      <c r="J24" s="65" t="s">
        <v>494</v>
      </c>
      <c r="K24" s="66" t="str">
        <f>IF(ISBLANK($J24),"",IF(ISBLANK(VLOOKUP($J24,定义!$D$3:$O$34,K$5,FALSE)),"",VLOOKUP($J24,定义!$D$3:$O$34,K$5,FALSE)))</f>
        <v>X轴水平位移(int)</v>
      </c>
      <c r="L24" s="67">
        <v>50</v>
      </c>
      <c r="M24" s="66" t="str">
        <f>IF(ISBLANK($J24),"",IF(ISBLANK(VLOOKUP($J24,定义!$D$3:$O$34,M$5,FALSE)),"",VLOOKUP($J24,定义!$D$3:$O$34,M$5,FALSE)))</f>
        <v>打飞高度(int)</v>
      </c>
      <c r="N24" s="67">
        <v>150</v>
      </c>
      <c r="O24" s="66" t="str">
        <f>IF(ISBLANK($J24),"",IF(ISBLANK(VLOOKUP($J24,定义!$D$3:$O$34,O$5,FALSE)),"",VLOOKUP($J24,定义!$D$3:$O$34,O$5,FALSE)))</f>
        <v>Z轴纵深位移(int)</v>
      </c>
      <c r="P24" s="67">
        <v>0</v>
      </c>
      <c r="Q24" s="66" t="str">
        <f>IF(ISBLANK($J24),"",IF(ISBLANK(VLOOKUP($J24,定义!$D$3:$O$34,Q$5,FALSE)),"",VLOOKUP($J24,定义!$D$3:$O$34,Q$5,FALSE)))</f>
        <v>最高点时间(float)</v>
      </c>
      <c r="R24" s="67">
        <v>0.2</v>
      </c>
      <c r="S24" s="66" t="str">
        <f>IF(ISBLANK($J24),"",IF(ISBLANK(VLOOKUP($J24,定义!$D$3:$O$34,S$5,FALSE)),"",VLOOKUP($J24,定义!$D$3:$O$34,S$5,FALSE)))</f>
        <v>最大高度限制(int)</v>
      </c>
      <c r="T24" s="67">
        <v>200</v>
      </c>
      <c r="U24" s="66" t="str">
        <f>IF(ISBLANK($J24),"",IF(ISBLANK(VLOOKUP($J24,定义!$D$3:$O$34,U$5,FALSE)),"",VLOOKUP($J24,定义!$D$3:$O$34,U$5,FALSE)))</f>
        <v xml:space="preserve">上升是否要重力
1 要 0 不要
默认0
</v>
      </c>
      <c r="V24" s="67"/>
      <c r="W24" s="66"/>
      <c r="X24" s="67"/>
      <c r="Y24" s="71"/>
      <c r="Z24" s="67"/>
      <c r="AA24" s="71"/>
      <c r="AB24" s="67"/>
      <c r="AC24" s="71"/>
      <c r="AD24" s="67"/>
      <c r="AE24" s="61"/>
      <c r="AF24" s="70"/>
    </row>
    <row r="25" spans="1:32" s="42" customFormat="1">
      <c r="A25" s="62" t="s">
        <v>485</v>
      </c>
      <c r="B25" s="62"/>
      <c r="C25" s="62"/>
      <c r="D25" s="63"/>
      <c r="E25" s="62"/>
      <c r="F25" s="62"/>
      <c r="G25" s="62"/>
      <c r="H25" s="72"/>
      <c r="I25" s="73"/>
      <c r="J25" s="73"/>
      <c r="K25" s="74"/>
      <c r="L25" s="75"/>
      <c r="M25" s="74"/>
      <c r="N25" s="75"/>
      <c r="O25" s="74"/>
      <c r="P25" s="75"/>
      <c r="Q25" s="74"/>
      <c r="R25" s="75"/>
      <c r="S25" s="74"/>
      <c r="T25" s="75"/>
      <c r="U25" s="74"/>
      <c r="V25" s="75"/>
      <c r="W25" s="76"/>
      <c r="X25" s="75"/>
      <c r="Y25" s="62"/>
      <c r="Z25" s="75"/>
      <c r="AA25" s="62"/>
      <c r="AB25" s="75"/>
      <c r="AC25" s="62"/>
      <c r="AD25" s="75"/>
      <c r="AE25" s="62"/>
      <c r="AF25" s="63"/>
    </row>
    <row r="26" spans="1:32" ht="94.5">
      <c r="A26" s="61">
        <f>ROW()</f>
        <v>26</v>
      </c>
      <c r="B26" s="61"/>
      <c r="C26" s="62">
        <v>30001</v>
      </c>
      <c r="D26" s="63">
        <v>0.2</v>
      </c>
      <c r="E26" s="62"/>
      <c r="F26" s="62"/>
      <c r="G26" s="61"/>
      <c r="H26" s="59"/>
      <c r="I26" s="64">
        <f>IF(ISBLANK(J26),"",VLOOKUP(J26,定义!$D$3:$E$32,2,FALSE))</f>
        <v>18</v>
      </c>
      <c r="J26" s="65" t="s">
        <v>463</v>
      </c>
      <c r="K26" s="66" t="str">
        <f>IF(ISBLANK($J26),"",IF(ISBLANK(VLOOKUP($J26,定义!$D$3:$O$34,K$5,FALSE)),"",VLOOKUP($J26,定义!$D$3:$O$34,K$5,FALSE)))</f>
        <v>监听类型
0.立即执行
1.点击该技能按钮
2.持续按住该技能松开后(蓄力)
3.点击任一技能按钮
4.进行移动操作</v>
      </c>
      <c r="L26" s="67">
        <v>1</v>
      </c>
      <c r="M26" s="66" t="str">
        <f>IF(ISBLANK($J26),"",IF(ISBLANK(VLOOKUP($J26,定义!$D$3:$O$34,M$5,FALSE)),"",VLOOKUP($J26,定义!$D$3:$O$34,M$5,FALSE)))</f>
        <v>监听时长
0则为招式结束时结束监听
超出招式时间即使招式结束监听仍然有效</v>
      </c>
      <c r="N26" s="67">
        <v>0</v>
      </c>
      <c r="O26" s="66" t="str">
        <f>IF(ISBLANK($J26),"",IF(ISBLANK(VLOOKUP($J26,定义!$D$3:$O$34,O$5,FALSE)),"",VLOOKUP($J26,定义!$D$3:$O$34,O$5,FALSE)))</f>
        <v>执行指令
1.中断技能
2.跳转技能ID
3.取消技能CD(即在该监听过程中不进入技能CD)
4.恢复技能CD</v>
      </c>
      <c r="P26" s="67">
        <v>2</v>
      </c>
      <c r="Q26" s="66" t="str">
        <f>IF(ISBLANK($J26),"",IF(ISBLANK(VLOOKUP($J26,定义!$D$3:$O$34,Q$5,FALSE)),"",VLOOKUP($J26,定义!$D$3:$O$34,Q$5,FALSE)))</f>
        <v>对应指令参数1
指令1：无
指令2：技能ID
指令3：
指令4：</v>
      </c>
      <c r="R26" s="67">
        <v>4</v>
      </c>
      <c r="S26" s="66" t="str">
        <f>IF(ISBLANK($J26),"",IF(ISBLANK(VLOOKUP($J26,定义!$D$3:$O$34,S$5,FALSE)),"",VLOOKUP($J26,定义!$D$3:$O$34,S$5,FALSE)))</f>
        <v/>
      </c>
      <c r="T26" s="67"/>
      <c r="U26" s="66" t="str">
        <f>IF(ISBLANK($J26),"",IF(ISBLANK(VLOOKUP($J26,定义!$D$3:$O$34,U$5,FALSE)),"",VLOOKUP($J26,定义!$D$3:$O$34,U$5,FALSE)))</f>
        <v/>
      </c>
      <c r="V26" s="67"/>
      <c r="W26" s="68" t="str">
        <f>IF(ISBLANK($J26),"",IF(ISBLANK(VLOOKUP($J26,定义!$D$3:$O$34,W$5,FALSE)),"",VLOOKUP($J26,定义!$D$3:$O$34,W$5,FALSE)))</f>
        <v/>
      </c>
      <c r="X26" s="67"/>
      <c r="Y26" s="71"/>
      <c r="Z26" s="67"/>
      <c r="AA26" s="71"/>
      <c r="AB26" s="67"/>
      <c r="AC26" s="71"/>
      <c r="AD26" s="67"/>
      <c r="AE26" s="61">
        <v>0</v>
      </c>
      <c r="AF26" s="70">
        <v>0</v>
      </c>
    </row>
    <row r="27" spans="1:32" ht="34.5" customHeight="1">
      <c r="A27" s="61">
        <f>ROW()</f>
        <v>27</v>
      </c>
      <c r="B27" s="61"/>
      <c r="C27" s="62">
        <v>30001</v>
      </c>
      <c r="D27" s="63">
        <v>0.2</v>
      </c>
      <c r="E27" s="62">
        <v>2</v>
      </c>
      <c r="F27" s="62"/>
      <c r="G27" s="61"/>
      <c r="H27" s="59" t="s">
        <v>520</v>
      </c>
      <c r="I27" s="64">
        <f>IF(ISBLANK(J27),"",VLOOKUP(J27,定义!$D$3:$E$32,2,FALSE))</f>
        <v>2</v>
      </c>
      <c r="J27" s="65" t="s">
        <v>495</v>
      </c>
      <c r="K27" s="66" t="str">
        <f>IF(ISBLANK($J27),"",IF(ISBLANK(VLOOKUP($J27,定义!$D$3:$O$34,K$5,FALSE)),"",VLOOKUP($J27,定义!$D$3:$O$34,K$5,FALSE)))</f>
        <v>停顿时间(float)</v>
      </c>
      <c r="L27" s="67">
        <v>1</v>
      </c>
      <c r="M27" s="66" t="str">
        <f>IF(ISBLANK($J27),"",IF(ISBLANK(VLOOKUP($J27,定义!$D$3:$O$34,M$5,FALSE)),"",VLOOKUP($J27,定义!$D$3:$O$34,M$5,FALSE)))</f>
        <v>需要存在目标（1需要，0不需要）</v>
      </c>
      <c r="N27" s="67">
        <v>0</v>
      </c>
      <c r="O27" s="66" t="str">
        <f>IF(ISBLANK($J27),"",IF(ISBLANK(VLOOKUP($J27,定义!$D$3:$O$34,O$5,FALSE)),"",VLOOKUP($J27,定义!$D$3:$O$34,O$5,FALSE)))</f>
        <v/>
      </c>
      <c r="P27" s="67"/>
      <c r="Q27" s="66" t="str">
        <f>IF(ISBLANK($J27),"",IF(ISBLANK(VLOOKUP($J27,定义!$D$3:$O$34,Q$5,FALSE)),"",VLOOKUP($J27,定义!$D$3:$O$34,Q$5,FALSE)))</f>
        <v/>
      </c>
      <c r="R27" s="67"/>
      <c r="S27" s="66" t="str">
        <f>IF(ISBLANK($J27),"",IF(ISBLANK(VLOOKUP($J27,定义!$D$3:$O$34,S$5,FALSE)),"",VLOOKUP($J27,定义!$D$3:$O$34,S$5,FALSE)))</f>
        <v/>
      </c>
      <c r="T27" s="67"/>
      <c r="U27" s="66" t="str">
        <f>IF(ISBLANK($J27),"",IF(ISBLANK(VLOOKUP($J27,定义!$D$3:$O$34,U$5,FALSE)),"",VLOOKUP($J27,定义!$D$3:$O$34,U$5,FALSE)))</f>
        <v/>
      </c>
      <c r="V27" s="67"/>
      <c r="W27" s="66"/>
      <c r="X27" s="67"/>
      <c r="Y27" s="71"/>
      <c r="Z27" s="67"/>
      <c r="AA27" s="71"/>
      <c r="AB27" s="67"/>
      <c r="AC27" s="71"/>
      <c r="AD27" s="67"/>
      <c r="AE27" s="61"/>
      <c r="AF27" s="70"/>
    </row>
    <row r="28" spans="1:32">
      <c r="A28" s="61"/>
      <c r="B28" s="61"/>
      <c r="C28" s="62"/>
      <c r="D28" s="63"/>
      <c r="E28" s="62"/>
      <c r="F28" s="62"/>
      <c r="G28" s="61"/>
      <c r="H28" s="61"/>
      <c r="I28" s="64" t="str">
        <f>IF(ISBLANK(J28),"",VLOOKUP(J28,定义!D10:E39,2,FALSE))</f>
        <v/>
      </c>
      <c r="J28" s="65"/>
      <c r="K28" s="69" t="str">
        <f>IF(ISBLANK($J28),"",IF(ISBLANK(VLOOKUP($J28,定义!$D$3:$O$34,K$5,FALSE)),"",VLOOKUP($J28,定义!$D$3:$O$34,K$5,FALSE)))</f>
        <v/>
      </c>
      <c r="L28" s="67"/>
      <c r="M28" s="69" t="str">
        <f>IF(ISBLANK($J28),"",IF(ISBLANK(VLOOKUP($J28,定义!$D$3:$O$34,M$5,FALSE)),"",VLOOKUP($J28,定义!$D$3:$O$34,M$5,FALSE)))</f>
        <v/>
      </c>
      <c r="N28" s="67"/>
      <c r="O28" s="69" t="str">
        <f>IF(ISBLANK($J28),"",IF(ISBLANK(VLOOKUP($J28,定义!$D$3:$O$34,O$5,FALSE)),"",VLOOKUP($J28,定义!$D$3:$O$34,O$5,FALSE)))</f>
        <v/>
      </c>
      <c r="P28" s="67"/>
      <c r="Q28" s="69" t="str">
        <f>IF(ISBLANK($J28),"",IF(ISBLANK(VLOOKUP($J28,定义!$D$3:$O$34,Q$5,FALSE)),"",VLOOKUP($J28,定义!$D$3:$O$34,Q$5,FALSE)))</f>
        <v/>
      </c>
      <c r="R28" s="67"/>
      <c r="S28" s="69" t="str">
        <f>IF(ISBLANK($J28),"",IF(ISBLANK(VLOOKUP($J28,定义!$D$3:$O$34,S$5,FALSE)),"",VLOOKUP($J28,定义!$D$3:$O$34,S$5,FALSE)))</f>
        <v/>
      </c>
      <c r="T28" s="67"/>
      <c r="U28" s="69" t="str">
        <f>IF(ISBLANK($J28),"",IF(ISBLANK(VLOOKUP($J28,定义!$D$3:$O$34,U$5,FALSE)),"",VLOOKUP($J28,定义!$D$3:$O$34,U$5,FALSE)))</f>
        <v/>
      </c>
      <c r="V28" s="67"/>
      <c r="W28" s="69" t="str">
        <f>IF(ISBLANK($J28),"",IF(ISBLANK(VLOOKUP($J28,定义!$D$3:$O$34,W$5,FALSE)),"",VLOOKUP($J28,定义!$D$3:$O$34,W$5,FALSE)))</f>
        <v/>
      </c>
      <c r="X28" s="67"/>
      <c r="Y28" s="71"/>
      <c r="Z28" s="67"/>
      <c r="AA28" s="71"/>
      <c r="AB28" s="67"/>
      <c r="AC28" s="71"/>
      <c r="AD28" s="67"/>
      <c r="AE28" s="61">
        <v>0</v>
      </c>
      <c r="AF28" s="70">
        <v>0</v>
      </c>
    </row>
    <row r="29" spans="1:32">
      <c r="A29" s="61"/>
      <c r="B29" s="61"/>
      <c r="C29" s="62"/>
      <c r="D29" s="63"/>
      <c r="E29" s="62"/>
      <c r="F29" s="62"/>
      <c r="G29" s="61"/>
      <c r="H29" s="61"/>
      <c r="I29" s="64" t="str">
        <f>IF(ISBLANK(J29),"",VLOOKUP(J29,定义!D11:E40,2,FALSE))</f>
        <v/>
      </c>
      <c r="J29" s="65"/>
      <c r="K29" s="69" t="str">
        <f>IF(ISBLANK($J29),"",IF(ISBLANK(VLOOKUP($J29,定义!$D$3:$O$34,K$5,FALSE)),"",VLOOKUP($J29,定义!$D$3:$O$34,K$5,FALSE)))</f>
        <v/>
      </c>
      <c r="L29" s="67"/>
      <c r="M29" s="69" t="str">
        <f>IF(ISBLANK($J29),"",IF(ISBLANK(VLOOKUP($J29,定义!$D$3:$O$34,M$5,FALSE)),"",VLOOKUP($J29,定义!$D$3:$O$34,M$5,FALSE)))</f>
        <v/>
      </c>
      <c r="N29" s="67"/>
      <c r="O29" s="69" t="str">
        <f>IF(ISBLANK($J29),"",IF(ISBLANK(VLOOKUP($J29,定义!$D$3:$O$34,O$5,FALSE)),"",VLOOKUP($J29,定义!$D$3:$O$34,O$5,FALSE)))</f>
        <v/>
      </c>
      <c r="P29" s="67"/>
      <c r="Q29" s="69" t="str">
        <f>IF(ISBLANK($J29),"",IF(ISBLANK(VLOOKUP($J29,定义!$D$3:$O$34,Q$5,FALSE)),"",VLOOKUP($J29,定义!$D$3:$O$34,Q$5,FALSE)))</f>
        <v/>
      </c>
      <c r="R29" s="67"/>
      <c r="S29" s="69" t="str">
        <f>IF(ISBLANK($J29),"",IF(ISBLANK(VLOOKUP($J29,定义!$D$3:$O$34,S$5,FALSE)),"",VLOOKUP($J29,定义!$D$3:$O$34,S$5,FALSE)))</f>
        <v/>
      </c>
      <c r="T29" s="67"/>
      <c r="U29" s="69" t="str">
        <f>IF(ISBLANK($J29),"",IF(ISBLANK(VLOOKUP($J29,定义!$D$3:$O$34,U$5,FALSE)),"",VLOOKUP($J29,定义!$D$3:$O$34,U$5,FALSE)))</f>
        <v/>
      </c>
      <c r="V29" s="67"/>
      <c r="W29" s="69" t="str">
        <f>IF(ISBLANK($J29),"",IF(ISBLANK(VLOOKUP($J29,定义!$D$3:$O$34,W$5,FALSE)),"",VLOOKUP($J29,定义!$D$3:$O$34,W$5,FALSE)))</f>
        <v/>
      </c>
      <c r="X29" s="67"/>
      <c r="Y29" s="71"/>
      <c r="Z29" s="67"/>
      <c r="AA29" s="71"/>
      <c r="AB29" s="67"/>
      <c r="AC29" s="71"/>
      <c r="AD29" s="67"/>
      <c r="AE29" s="61">
        <v>0</v>
      </c>
      <c r="AF29" s="70">
        <v>0</v>
      </c>
    </row>
    <row r="30" spans="1:32">
      <c r="A30" s="61"/>
      <c r="B30" s="61"/>
      <c r="C30" s="62"/>
      <c r="D30" s="63"/>
      <c r="E30" s="62"/>
      <c r="F30" s="62"/>
      <c r="G30" s="61"/>
      <c r="H30" s="61"/>
      <c r="I30" s="64" t="str">
        <f>IF(ISBLANK(J30),"",VLOOKUP(J30,定义!D12:E41,2,FALSE))</f>
        <v/>
      </c>
      <c r="J30" s="65"/>
      <c r="K30" s="69" t="str">
        <f>IF(ISBLANK($J30),"",IF(ISBLANK(VLOOKUP($J30,定义!$D$3:$O$34,K$5,FALSE)),"",VLOOKUP($J30,定义!$D$3:$O$34,K$5,FALSE)))</f>
        <v/>
      </c>
      <c r="L30" s="67"/>
      <c r="M30" s="69" t="str">
        <f>IF(ISBLANK($J30),"",IF(ISBLANK(VLOOKUP($J30,定义!$D$3:$O$34,M$5,FALSE)),"",VLOOKUP($J30,定义!$D$3:$O$34,M$5,FALSE)))</f>
        <v/>
      </c>
      <c r="N30" s="67"/>
      <c r="O30" s="69" t="str">
        <f>IF(ISBLANK($J30),"",IF(ISBLANK(VLOOKUP($J30,定义!$D$3:$O$34,O$5,FALSE)),"",VLOOKUP($J30,定义!$D$3:$O$34,O$5,FALSE)))</f>
        <v/>
      </c>
      <c r="P30" s="67"/>
      <c r="Q30" s="69" t="str">
        <f>IF(ISBLANK($J30),"",IF(ISBLANK(VLOOKUP($J30,定义!$D$3:$O$34,Q$5,FALSE)),"",VLOOKUP($J30,定义!$D$3:$O$34,Q$5,FALSE)))</f>
        <v/>
      </c>
      <c r="R30" s="67"/>
      <c r="S30" s="69" t="str">
        <f>IF(ISBLANK($J30),"",IF(ISBLANK(VLOOKUP($J30,定义!$D$3:$O$34,S$5,FALSE)),"",VLOOKUP($J30,定义!$D$3:$O$34,S$5,FALSE)))</f>
        <v/>
      </c>
      <c r="T30" s="67"/>
      <c r="U30" s="69" t="str">
        <f>IF(ISBLANK($J30),"",IF(ISBLANK(VLOOKUP($J30,定义!$D$3:$O$34,U$5,FALSE)),"",VLOOKUP($J30,定义!$D$3:$O$34,U$5,FALSE)))</f>
        <v/>
      </c>
      <c r="V30" s="67"/>
      <c r="W30" s="69" t="str">
        <f>IF(ISBLANK($J30),"",IF(ISBLANK(VLOOKUP($J30,定义!$D$3:$O$34,W$5,FALSE)),"",VLOOKUP($J30,定义!$D$3:$O$34,W$5,FALSE)))</f>
        <v/>
      </c>
      <c r="X30" s="67"/>
      <c r="Y30" s="71"/>
      <c r="Z30" s="67"/>
      <c r="AA30" s="71"/>
      <c r="AB30" s="67"/>
      <c r="AC30" s="71"/>
      <c r="AD30" s="67"/>
      <c r="AE30" s="61">
        <v>0</v>
      </c>
      <c r="AF30" s="70">
        <v>0</v>
      </c>
    </row>
    <row r="31" spans="1:32">
      <c r="A31" s="61"/>
      <c r="B31" s="61"/>
      <c r="C31" s="61"/>
      <c r="D31" s="70"/>
      <c r="E31" s="61"/>
      <c r="F31" s="61"/>
      <c r="G31" s="61"/>
      <c r="H31" s="61"/>
      <c r="I31" s="64" t="str">
        <f>IF(ISBLANK(J31),"",VLOOKUP(J31,定义!D13:E42,2,FALSE))</f>
        <v/>
      </c>
      <c r="J31" s="65"/>
      <c r="K31" s="69" t="str">
        <f>IF(ISBLANK($J31),"",IF(ISBLANK(VLOOKUP($J31,定义!$D$3:$O$34,K$5,FALSE)),"",VLOOKUP($J31,定义!$D$3:$O$34,K$5,FALSE)))</f>
        <v/>
      </c>
      <c r="L31" s="67"/>
      <c r="M31" s="69" t="str">
        <f>IF(ISBLANK($J31),"",IF(ISBLANK(VLOOKUP($J31,定义!$D$3:$O$34,M$5,FALSE)),"",VLOOKUP($J31,定义!$D$3:$O$34,M$5,FALSE)))</f>
        <v/>
      </c>
      <c r="N31" s="67"/>
      <c r="O31" s="69" t="str">
        <f>IF(ISBLANK($J31),"",IF(ISBLANK(VLOOKUP($J31,定义!$D$3:$O$34,O$5,FALSE)),"",VLOOKUP($J31,定义!$D$3:$O$34,O$5,FALSE)))</f>
        <v/>
      </c>
      <c r="P31" s="67"/>
      <c r="Q31" s="69" t="str">
        <f>IF(ISBLANK($J31),"",IF(ISBLANK(VLOOKUP($J31,定义!$D$3:$O$34,Q$5,FALSE)),"",VLOOKUP($J31,定义!$D$3:$O$34,Q$5,FALSE)))</f>
        <v/>
      </c>
      <c r="R31" s="67"/>
      <c r="S31" s="69" t="str">
        <f>IF(ISBLANK($J31),"",IF(ISBLANK(VLOOKUP($J31,定义!$D$3:$O$34,S$5,FALSE)),"",VLOOKUP($J31,定义!$D$3:$O$34,S$5,FALSE)))</f>
        <v/>
      </c>
      <c r="T31" s="67"/>
      <c r="U31" s="69" t="str">
        <f>IF(ISBLANK($J31),"",IF(ISBLANK(VLOOKUP($J31,定义!$D$3:$O$34,U$5,FALSE)),"",VLOOKUP($J31,定义!$D$3:$O$34,U$5,FALSE)))</f>
        <v/>
      </c>
      <c r="V31" s="67"/>
      <c r="W31" s="69" t="str">
        <f>IF(ISBLANK($J31),"",IF(ISBLANK(VLOOKUP($J31,定义!$D$3:$O$34,W$5,FALSE)),"",VLOOKUP($J31,定义!$D$3:$O$34,W$5,FALSE)))</f>
        <v/>
      </c>
      <c r="X31" s="67"/>
      <c r="Y31" s="71"/>
      <c r="Z31" s="67"/>
      <c r="AA31" s="71"/>
      <c r="AB31" s="67"/>
      <c r="AC31" s="71"/>
      <c r="AD31" s="67"/>
      <c r="AE31" s="61">
        <v>0</v>
      </c>
      <c r="AF31" s="70">
        <v>0</v>
      </c>
    </row>
    <row r="32" spans="1:32">
      <c r="A32" s="61"/>
      <c r="B32" s="61"/>
      <c r="C32" s="61"/>
      <c r="D32" s="70"/>
      <c r="E32" s="61"/>
      <c r="F32" s="61"/>
      <c r="G32" s="61"/>
      <c r="H32" s="61"/>
      <c r="I32" s="64" t="str">
        <f>IF(ISBLANK(J32),"",VLOOKUP(J32,定义!D14:E43,2,FALSE))</f>
        <v/>
      </c>
      <c r="J32" s="65"/>
      <c r="K32" s="69" t="str">
        <f>IF(ISBLANK($J32),"",IF(ISBLANK(VLOOKUP($J32,定义!$D$3:$O$34,K$5,FALSE)),"",VLOOKUP($J32,定义!$D$3:$O$34,K$5,FALSE)))</f>
        <v/>
      </c>
      <c r="L32" s="77"/>
      <c r="M32" s="69" t="str">
        <f>IF(ISBLANK($J32),"",IF(ISBLANK(VLOOKUP($J32,定义!$D$3:$O$34,M$5,FALSE)),"",VLOOKUP($J32,定义!$D$3:$O$34,M$5,FALSE)))</f>
        <v/>
      </c>
      <c r="N32" s="77"/>
      <c r="O32" s="69" t="str">
        <f>IF(ISBLANK($J32),"",IF(ISBLANK(VLOOKUP($J32,定义!$D$3:$O$34,O$5,FALSE)),"",VLOOKUP($J32,定义!$D$3:$O$34,O$5,FALSE)))</f>
        <v/>
      </c>
      <c r="P32" s="77"/>
      <c r="Q32" s="69" t="str">
        <f>IF(ISBLANK($J32),"",IF(ISBLANK(VLOOKUP($J32,定义!$D$3:$O$34,Q$5,FALSE)),"",VLOOKUP($J32,定义!$D$3:$O$34,Q$5,FALSE)))</f>
        <v/>
      </c>
      <c r="R32" s="77"/>
      <c r="S32" s="69" t="str">
        <f>IF(ISBLANK($J32),"",IF(ISBLANK(VLOOKUP($J32,定义!$D$3:$O$34,S$5,FALSE)),"",VLOOKUP($J32,定义!$D$3:$O$34,S$5,FALSE)))</f>
        <v/>
      </c>
      <c r="T32" s="77"/>
      <c r="U32" s="69" t="str">
        <f>IF(ISBLANK($J32),"",IF(ISBLANK(VLOOKUP($J32,定义!$D$3:$O$34,U$5,FALSE)),"",VLOOKUP($J32,定义!$D$3:$O$34,U$5,FALSE)))</f>
        <v/>
      </c>
      <c r="V32" s="77"/>
      <c r="W32" s="69" t="str">
        <f>IF(ISBLANK($J32),"",IF(ISBLANK(VLOOKUP($J32,定义!$D$3:$O$34,W$5,FALSE)),"",VLOOKUP($J32,定义!$D$3:$O$34,W$5,FALSE)))</f>
        <v/>
      </c>
      <c r="X32" s="77"/>
      <c r="Y32" s="71"/>
      <c r="Z32" s="77"/>
      <c r="AA32" s="71"/>
      <c r="AB32" s="77"/>
      <c r="AC32" s="71"/>
      <c r="AD32" s="61"/>
      <c r="AE32" s="61"/>
      <c r="AF32" s="61"/>
    </row>
    <row r="33" spans="1:32">
      <c r="A33" s="61"/>
      <c r="B33" s="61"/>
      <c r="C33" s="61"/>
      <c r="D33" s="70"/>
      <c r="E33" s="61"/>
      <c r="F33" s="61"/>
      <c r="G33" s="61"/>
      <c r="H33" s="61"/>
      <c r="I33" s="64" t="str">
        <f>IF(ISBLANK(J33),"",VLOOKUP(J33,定义!D15:E44,2,FALSE))</f>
        <v/>
      </c>
      <c r="J33" s="65"/>
      <c r="K33" s="69" t="str">
        <f>IF(ISBLANK($J33),"",IF(ISBLANK(VLOOKUP($J33,定义!$D$3:$O$34,K$5,FALSE)),"",VLOOKUP($J33,定义!$D$3:$O$34,K$5,FALSE)))</f>
        <v/>
      </c>
      <c r="L33" s="77"/>
      <c r="M33" s="69" t="str">
        <f>IF(ISBLANK($J33),"",IF(ISBLANK(VLOOKUP($J33,定义!$D$3:$O$34,M$5,FALSE)),"",VLOOKUP($J33,定义!$D$3:$O$34,M$5,FALSE)))</f>
        <v/>
      </c>
      <c r="N33" s="77"/>
      <c r="O33" s="69" t="str">
        <f>IF(ISBLANK($J33),"",IF(ISBLANK(VLOOKUP($J33,定义!$D$3:$O$34,O$5,FALSE)),"",VLOOKUP($J33,定义!$D$3:$O$34,O$5,FALSE)))</f>
        <v/>
      </c>
      <c r="P33" s="77"/>
      <c r="Q33" s="69" t="str">
        <f>IF(ISBLANK($J33),"",IF(ISBLANK(VLOOKUP($J33,定义!$D$3:$O$34,Q$5,FALSE)),"",VLOOKUP($J33,定义!$D$3:$O$34,Q$5,FALSE)))</f>
        <v/>
      </c>
      <c r="R33" s="77"/>
      <c r="S33" s="69" t="str">
        <f>IF(ISBLANK($J33),"",IF(ISBLANK(VLOOKUP($J33,定义!$D$3:$O$34,S$5,FALSE)),"",VLOOKUP($J33,定义!$D$3:$O$34,S$5,FALSE)))</f>
        <v/>
      </c>
      <c r="T33" s="77"/>
      <c r="U33" s="69" t="str">
        <f>IF(ISBLANK($J33),"",IF(ISBLANK(VLOOKUP($J33,定义!$D$3:$O$34,U$5,FALSE)),"",VLOOKUP($J33,定义!$D$3:$O$34,U$5,FALSE)))</f>
        <v/>
      </c>
      <c r="V33" s="77"/>
      <c r="W33" s="69" t="str">
        <f>IF(ISBLANK($J33),"",IF(ISBLANK(VLOOKUP($J33,定义!$D$3:$O$34,W$5,FALSE)),"",VLOOKUP($J33,定义!$D$3:$O$34,W$5,FALSE)))</f>
        <v/>
      </c>
      <c r="X33" s="77"/>
      <c r="Y33" s="71"/>
      <c r="Z33" s="77"/>
      <c r="AA33" s="71"/>
      <c r="AB33" s="77"/>
      <c r="AC33" s="71"/>
      <c r="AD33" s="61"/>
      <c r="AE33" s="61"/>
      <c r="AF33" s="61"/>
    </row>
    <row r="34" spans="1:32">
      <c r="A34" s="61"/>
      <c r="B34" s="61"/>
      <c r="C34" s="61"/>
      <c r="D34" s="70"/>
      <c r="E34" s="61"/>
      <c r="F34" s="61"/>
      <c r="G34" s="61"/>
      <c r="H34" s="61"/>
      <c r="I34" s="64" t="str">
        <f>IF(ISBLANK(J34),"",VLOOKUP(J34,定义!D16:E45,2,FALSE))</f>
        <v/>
      </c>
      <c r="J34" s="65"/>
      <c r="K34" s="69" t="str">
        <f>IF(ISBLANK($J34),"",IF(ISBLANK(VLOOKUP($J34,定义!$D$3:$O$34,K$5,FALSE)),"",VLOOKUP($J34,定义!$D$3:$O$34,K$5,FALSE)))</f>
        <v/>
      </c>
      <c r="L34" s="77"/>
      <c r="M34" s="69" t="str">
        <f>IF(ISBLANK($J34),"",IF(ISBLANK(VLOOKUP($J34,定义!$D$3:$O$34,M$5,FALSE)),"",VLOOKUP($J34,定义!$D$3:$O$34,M$5,FALSE)))</f>
        <v/>
      </c>
      <c r="N34" s="77"/>
      <c r="O34" s="69" t="str">
        <f>IF(ISBLANK($J34),"",IF(ISBLANK(VLOOKUP($J34,定义!$D$3:$O$34,O$5,FALSE)),"",VLOOKUP($J34,定义!$D$3:$O$34,O$5,FALSE)))</f>
        <v/>
      </c>
      <c r="P34" s="77"/>
      <c r="Q34" s="69" t="str">
        <f>IF(ISBLANK($J34),"",IF(ISBLANK(VLOOKUP($J34,定义!$D$3:$O$34,Q$5,FALSE)),"",VLOOKUP($J34,定义!$D$3:$O$34,Q$5,FALSE)))</f>
        <v/>
      </c>
      <c r="R34" s="77"/>
      <c r="S34" s="69" t="str">
        <f>IF(ISBLANK($J34),"",IF(ISBLANK(VLOOKUP($J34,定义!$D$3:$O$34,S$5,FALSE)),"",VLOOKUP($J34,定义!$D$3:$O$34,S$5,FALSE)))</f>
        <v/>
      </c>
      <c r="T34" s="77"/>
      <c r="U34" s="69" t="str">
        <f>IF(ISBLANK($J34),"",IF(ISBLANK(VLOOKUP($J34,定义!$D$3:$O$34,U$5,FALSE)),"",VLOOKUP($J34,定义!$D$3:$O$34,U$5,FALSE)))</f>
        <v/>
      </c>
      <c r="V34" s="77"/>
      <c r="W34" s="69" t="str">
        <f>IF(ISBLANK($J34),"",IF(ISBLANK(VLOOKUP($J34,定义!$D$3:$O$34,W$5,FALSE)),"",VLOOKUP($J34,定义!$D$3:$O$34,W$5,FALSE)))</f>
        <v/>
      </c>
      <c r="X34" s="77"/>
      <c r="Y34" s="71"/>
      <c r="Z34" s="77"/>
      <c r="AA34" s="71"/>
      <c r="AB34" s="77"/>
      <c r="AC34" s="71"/>
      <c r="AD34" s="61"/>
      <c r="AE34" s="61"/>
      <c r="AF34" s="61"/>
    </row>
    <row r="35" spans="1:32">
      <c r="A35" s="61"/>
      <c r="B35" s="61"/>
      <c r="C35" s="61"/>
      <c r="D35" s="70"/>
      <c r="E35" s="61"/>
      <c r="F35" s="61"/>
      <c r="G35" s="61"/>
      <c r="H35" s="61"/>
      <c r="I35" s="64" t="str">
        <f>IF(ISBLANK(J35),"",VLOOKUP(J35,定义!D17:E46,2,FALSE))</f>
        <v/>
      </c>
      <c r="J35" s="65"/>
      <c r="K35" s="69" t="str">
        <f>IF(ISBLANK($J35),"",IF(ISBLANK(VLOOKUP($J35,定义!$D$3:$O$34,K$5,FALSE)),"",VLOOKUP($J35,定义!$D$3:$O$34,K$5,FALSE)))</f>
        <v/>
      </c>
      <c r="L35" s="77"/>
      <c r="M35" s="69" t="str">
        <f>IF(ISBLANK($J35),"",IF(ISBLANK(VLOOKUP($J35,定义!$D$3:$O$34,M$5,FALSE)),"",VLOOKUP($J35,定义!$D$3:$O$34,M$5,FALSE)))</f>
        <v/>
      </c>
      <c r="N35" s="77"/>
      <c r="O35" s="69" t="str">
        <f>IF(ISBLANK($J35),"",IF(ISBLANK(VLOOKUP($J35,定义!$D$3:$O$34,O$5,FALSE)),"",VLOOKUP($J35,定义!$D$3:$O$34,O$5,FALSE)))</f>
        <v/>
      </c>
      <c r="P35" s="77"/>
      <c r="Q35" s="69" t="str">
        <f>IF(ISBLANK($J35),"",IF(ISBLANK(VLOOKUP($J35,定义!$D$3:$O$34,Q$5,FALSE)),"",VLOOKUP($J35,定义!$D$3:$O$34,Q$5,FALSE)))</f>
        <v/>
      </c>
      <c r="R35" s="77"/>
      <c r="S35" s="69" t="str">
        <f>IF(ISBLANK($J35),"",IF(ISBLANK(VLOOKUP($J35,定义!$D$3:$O$34,S$5,FALSE)),"",VLOOKUP($J35,定义!$D$3:$O$34,S$5,FALSE)))</f>
        <v/>
      </c>
      <c r="T35" s="77"/>
      <c r="U35" s="69" t="str">
        <f>IF(ISBLANK($J35),"",IF(ISBLANK(VLOOKUP($J35,定义!$D$3:$O$34,U$5,FALSE)),"",VLOOKUP($J35,定义!$D$3:$O$34,U$5,FALSE)))</f>
        <v/>
      </c>
      <c r="V35" s="77"/>
      <c r="W35" s="69" t="str">
        <f>IF(ISBLANK($J35),"",IF(ISBLANK(VLOOKUP($J35,定义!$D$3:$O$34,W$5,FALSE)),"",VLOOKUP($J35,定义!$D$3:$O$34,W$5,FALSE)))</f>
        <v/>
      </c>
      <c r="X35" s="77"/>
      <c r="Y35" s="71"/>
      <c r="Z35" s="77"/>
      <c r="AA35" s="71"/>
      <c r="AB35" s="77"/>
      <c r="AC35" s="71"/>
      <c r="AD35" s="61"/>
      <c r="AE35" s="61"/>
      <c r="AF35" s="61"/>
    </row>
    <row r="36" spans="1:32">
      <c r="D36" s="44"/>
      <c r="J36" s="47"/>
      <c r="K36" s="43"/>
      <c r="L36" s="46"/>
      <c r="M36" s="43"/>
      <c r="N36" s="46"/>
      <c r="O36" s="43"/>
      <c r="P36" s="46"/>
      <c r="Q36" s="43"/>
      <c r="R36" s="46"/>
      <c r="S36" s="43"/>
      <c r="T36" s="46"/>
      <c r="U36" s="45"/>
      <c r="V36" s="46"/>
      <c r="W36" s="45"/>
      <c r="X36" s="46"/>
      <c r="Y36" s="45"/>
      <c r="Z36" s="46"/>
      <c r="AA36" s="45"/>
      <c r="AB36" s="46"/>
      <c r="AC36" s="45"/>
    </row>
    <row r="37" spans="1:32">
      <c r="D37" s="44"/>
      <c r="J37" s="47"/>
      <c r="K37" s="43"/>
      <c r="L37" s="46"/>
      <c r="M37" s="43"/>
      <c r="N37" s="46"/>
      <c r="O37" s="43"/>
      <c r="P37" s="46"/>
      <c r="Q37" s="43"/>
      <c r="R37" s="46"/>
      <c r="S37" s="43"/>
      <c r="T37" s="46"/>
      <c r="U37" s="45"/>
      <c r="V37" s="46"/>
      <c r="W37" s="45"/>
      <c r="X37" s="46"/>
      <c r="Y37" s="45"/>
      <c r="Z37" s="46"/>
      <c r="AA37" s="45"/>
      <c r="AB37" s="46"/>
      <c r="AC37" s="45"/>
    </row>
    <row r="38" spans="1:32">
      <c r="D38" s="44"/>
      <c r="J38" s="47"/>
      <c r="K38" s="43"/>
      <c r="L38" s="46"/>
      <c r="M38" s="43"/>
      <c r="N38" s="46"/>
      <c r="O38" s="43"/>
      <c r="P38" s="46"/>
      <c r="Q38" s="43"/>
      <c r="R38" s="46"/>
      <c r="S38" s="43"/>
      <c r="T38" s="46"/>
      <c r="U38" s="45"/>
      <c r="V38" s="46"/>
      <c r="W38" s="45"/>
      <c r="X38" s="46"/>
      <c r="Y38" s="45"/>
      <c r="Z38" s="46"/>
      <c r="AA38" s="45"/>
      <c r="AB38" s="46"/>
      <c r="AC38" s="45"/>
    </row>
    <row r="39" spans="1:32">
      <c r="D39" s="44"/>
      <c r="J39" s="47"/>
      <c r="K39" s="43"/>
      <c r="L39" s="46"/>
      <c r="M39" s="43"/>
      <c r="N39" s="46"/>
      <c r="O39" s="43"/>
      <c r="P39" s="46"/>
      <c r="Q39" s="43"/>
      <c r="R39" s="46"/>
      <c r="S39" s="43"/>
      <c r="T39" s="46"/>
      <c r="U39" s="45"/>
      <c r="V39" s="46"/>
      <c r="W39" s="45"/>
      <c r="X39" s="46"/>
      <c r="Y39" s="45"/>
      <c r="Z39" s="46"/>
      <c r="AA39" s="45"/>
      <c r="AB39" s="46"/>
      <c r="AC39" s="45"/>
    </row>
    <row r="40" spans="1:32">
      <c r="D40" s="44"/>
      <c r="J40" s="47"/>
      <c r="K40" s="43"/>
      <c r="L40" s="46"/>
      <c r="M40" s="43"/>
      <c r="N40" s="46"/>
      <c r="O40" s="43"/>
      <c r="P40" s="46"/>
      <c r="Q40" s="43"/>
      <c r="R40" s="46"/>
      <c r="S40" s="43"/>
      <c r="T40" s="46"/>
      <c r="U40" s="45"/>
      <c r="V40" s="46"/>
      <c r="W40" s="45"/>
      <c r="X40" s="46"/>
      <c r="Y40" s="45"/>
      <c r="Z40" s="46"/>
      <c r="AA40" s="45"/>
      <c r="AB40" s="46"/>
      <c r="AC40" s="45"/>
    </row>
    <row r="41" spans="1:32">
      <c r="D41" s="44"/>
      <c r="J41" s="47"/>
      <c r="K41" s="43"/>
      <c r="L41" s="46"/>
      <c r="M41" s="43"/>
      <c r="N41" s="46"/>
      <c r="O41" s="43"/>
      <c r="P41" s="46"/>
      <c r="Q41" s="43"/>
      <c r="R41" s="46"/>
      <c r="S41" s="43"/>
      <c r="T41" s="46"/>
      <c r="U41" s="45"/>
      <c r="V41" s="46"/>
      <c r="W41" s="45"/>
      <c r="X41" s="46"/>
      <c r="Y41" s="45"/>
      <c r="Z41" s="46"/>
      <c r="AA41" s="45"/>
      <c r="AB41" s="46"/>
      <c r="AC41" s="45"/>
    </row>
    <row r="42" spans="1:32">
      <c r="D42" s="44"/>
      <c r="J42" s="47"/>
      <c r="K42" s="43"/>
      <c r="L42" s="46"/>
      <c r="M42" s="43"/>
      <c r="N42" s="46"/>
      <c r="O42" s="43"/>
      <c r="P42" s="46"/>
      <c r="Q42" s="43"/>
      <c r="R42" s="46"/>
      <c r="S42" s="43"/>
      <c r="T42" s="46"/>
      <c r="U42" s="45"/>
      <c r="V42" s="46"/>
      <c r="W42" s="45"/>
      <c r="X42" s="46"/>
      <c r="Y42" s="45"/>
      <c r="Z42" s="46"/>
      <c r="AA42" s="45"/>
      <c r="AB42" s="46"/>
      <c r="AC42" s="45"/>
    </row>
    <row r="43" spans="1:32">
      <c r="D43" s="44"/>
      <c r="J43" s="47"/>
      <c r="K43" s="43"/>
      <c r="L43" s="46"/>
      <c r="M43" s="43"/>
      <c r="N43" s="46"/>
      <c r="O43" s="43"/>
      <c r="P43" s="46"/>
      <c r="Q43" s="43"/>
      <c r="R43" s="46"/>
      <c r="S43" s="43"/>
      <c r="T43" s="46"/>
      <c r="U43" s="45"/>
      <c r="V43" s="46"/>
      <c r="W43" s="45"/>
      <c r="X43" s="46"/>
      <c r="Y43" s="45"/>
      <c r="Z43" s="46"/>
      <c r="AA43" s="45"/>
      <c r="AB43" s="46"/>
      <c r="AC43" s="45"/>
    </row>
    <row r="44" spans="1:32">
      <c r="D44" s="44"/>
      <c r="J44" s="47"/>
      <c r="K44" s="43"/>
      <c r="L44" s="46"/>
      <c r="M44" s="43"/>
      <c r="N44" s="46"/>
      <c r="O44" s="43"/>
      <c r="P44" s="46"/>
      <c r="Q44" s="43"/>
      <c r="R44" s="46"/>
      <c r="S44" s="43"/>
      <c r="T44" s="46"/>
      <c r="U44" s="45"/>
      <c r="V44" s="46"/>
      <c r="W44" s="45"/>
      <c r="X44" s="46"/>
      <c r="Y44" s="45"/>
      <c r="Z44" s="46"/>
      <c r="AA44" s="45"/>
      <c r="AB44" s="46"/>
      <c r="AC44" s="45"/>
    </row>
    <row r="45" spans="1:32">
      <c r="D45" s="44"/>
      <c r="J45" s="47"/>
      <c r="K45" s="43"/>
      <c r="L45" s="46"/>
      <c r="M45" s="43"/>
      <c r="N45" s="46"/>
      <c r="O45" s="43"/>
      <c r="P45" s="46"/>
      <c r="Q45" s="43"/>
      <c r="R45" s="46"/>
      <c r="S45" s="43"/>
      <c r="T45" s="46"/>
      <c r="U45" s="45"/>
      <c r="V45" s="46"/>
      <c r="W45" s="45"/>
      <c r="X45" s="46"/>
      <c r="Y45" s="45"/>
      <c r="Z45" s="46"/>
      <c r="AA45" s="45"/>
      <c r="AB45" s="46"/>
      <c r="AC45" s="45"/>
    </row>
    <row r="46" spans="1:32">
      <c r="D46" s="44"/>
      <c r="J46" s="47"/>
      <c r="K46" s="43"/>
      <c r="L46" s="46"/>
      <c r="M46" s="43"/>
      <c r="N46" s="46"/>
      <c r="O46" s="43"/>
      <c r="P46" s="46"/>
      <c r="Q46" s="43"/>
      <c r="R46" s="46"/>
      <c r="S46" s="43"/>
      <c r="T46" s="46"/>
      <c r="U46" s="45"/>
      <c r="V46" s="46"/>
      <c r="W46" s="45"/>
      <c r="X46" s="46"/>
      <c r="Y46" s="45"/>
      <c r="Z46" s="46"/>
      <c r="AA46" s="45"/>
      <c r="AB46" s="46"/>
      <c r="AC46" s="45"/>
    </row>
    <row r="47" spans="1:32">
      <c r="D47" s="44"/>
      <c r="J47" s="47"/>
      <c r="K47" s="43"/>
      <c r="L47" s="46"/>
      <c r="M47" s="43"/>
      <c r="N47" s="46"/>
      <c r="O47" s="43"/>
      <c r="P47" s="46"/>
      <c r="Q47" s="43"/>
      <c r="R47" s="46"/>
      <c r="S47" s="43"/>
      <c r="T47" s="46"/>
      <c r="U47" s="45"/>
      <c r="V47" s="46"/>
      <c r="W47" s="45"/>
      <c r="X47" s="46"/>
      <c r="Y47" s="45"/>
      <c r="Z47" s="46"/>
      <c r="AA47" s="45"/>
      <c r="AB47" s="46"/>
      <c r="AC47" s="45"/>
    </row>
    <row r="48" spans="1:32">
      <c r="D48" s="44"/>
      <c r="J48" s="47"/>
      <c r="K48" s="43"/>
      <c r="L48" s="46"/>
      <c r="M48" s="43"/>
      <c r="N48" s="46"/>
      <c r="O48" s="43"/>
      <c r="P48" s="46"/>
      <c r="Q48" s="43"/>
      <c r="R48" s="46"/>
      <c r="S48" s="43"/>
      <c r="T48" s="46"/>
      <c r="U48" s="45"/>
      <c r="V48" s="46"/>
      <c r="W48" s="45"/>
      <c r="X48" s="46"/>
      <c r="Y48" s="45"/>
      <c r="Z48" s="46"/>
      <c r="AA48" s="45"/>
      <c r="AB48" s="46"/>
      <c r="AC48" s="45"/>
    </row>
    <row r="49" spans="4:29">
      <c r="D49" s="44"/>
      <c r="J49" s="47"/>
      <c r="K49" s="43"/>
      <c r="L49" s="46"/>
      <c r="M49" s="43"/>
      <c r="N49" s="46"/>
      <c r="O49" s="43"/>
      <c r="P49" s="46"/>
      <c r="Q49" s="43"/>
      <c r="R49" s="46"/>
      <c r="S49" s="43"/>
      <c r="T49" s="46"/>
      <c r="U49" s="45"/>
      <c r="V49" s="46"/>
      <c r="W49" s="45"/>
      <c r="X49" s="46"/>
      <c r="Y49" s="45"/>
      <c r="Z49" s="46"/>
      <c r="AA49" s="45"/>
      <c r="AB49" s="46"/>
      <c r="AC49" s="45"/>
    </row>
    <row r="50" spans="4:29">
      <c r="D50" s="44"/>
      <c r="J50" s="47"/>
      <c r="K50" s="43"/>
      <c r="L50" s="46"/>
      <c r="M50" s="43"/>
      <c r="N50" s="46"/>
      <c r="O50" s="43"/>
      <c r="P50" s="46"/>
      <c r="Q50" s="43"/>
      <c r="R50" s="46"/>
      <c r="S50" s="43"/>
      <c r="T50" s="46"/>
      <c r="U50" s="45"/>
      <c r="V50" s="46"/>
      <c r="W50" s="45"/>
      <c r="X50" s="46"/>
      <c r="Y50" s="45"/>
      <c r="Z50" s="46"/>
      <c r="AA50" s="45"/>
      <c r="AB50" s="46"/>
      <c r="AC50" s="45"/>
    </row>
    <row r="51" spans="4:29">
      <c r="D51" s="44"/>
      <c r="J51" s="47"/>
      <c r="K51" s="43"/>
      <c r="L51" s="46"/>
      <c r="M51" s="43"/>
      <c r="N51" s="46"/>
      <c r="O51" s="43"/>
      <c r="P51" s="46"/>
      <c r="Q51" s="43"/>
      <c r="R51" s="46"/>
      <c r="S51" s="43"/>
      <c r="T51" s="46"/>
      <c r="U51" s="45"/>
      <c r="V51" s="46"/>
      <c r="W51" s="45"/>
      <c r="X51" s="46"/>
      <c r="Y51" s="45"/>
      <c r="Z51" s="46"/>
      <c r="AA51" s="45"/>
      <c r="AB51" s="46"/>
      <c r="AC51" s="45"/>
    </row>
    <row r="52" spans="4:29">
      <c r="J52" s="47"/>
      <c r="K52" s="43"/>
      <c r="L52" s="46"/>
      <c r="M52" s="43"/>
      <c r="N52" s="46"/>
      <c r="O52" s="43"/>
      <c r="P52" s="46"/>
      <c r="Q52" s="43"/>
      <c r="R52" s="46"/>
      <c r="S52" s="43"/>
      <c r="T52" s="46"/>
      <c r="U52" s="45"/>
      <c r="V52" s="46"/>
      <c r="W52" s="45"/>
      <c r="X52" s="46"/>
      <c r="Y52" s="45"/>
      <c r="Z52" s="46"/>
      <c r="AA52" s="45"/>
      <c r="AB52" s="46"/>
      <c r="AC52" s="45"/>
    </row>
    <row r="53" spans="4:29">
      <c r="J53" s="47"/>
      <c r="K53" s="43"/>
      <c r="L53" s="46"/>
      <c r="M53" s="43"/>
      <c r="N53" s="46"/>
      <c r="O53" s="43"/>
      <c r="P53" s="46"/>
      <c r="Q53" s="43"/>
      <c r="R53" s="46"/>
      <c r="S53" s="43"/>
      <c r="T53" s="46"/>
      <c r="U53" s="45"/>
      <c r="V53" s="46"/>
      <c r="W53" s="45"/>
      <c r="X53" s="46"/>
      <c r="Y53" s="45"/>
      <c r="Z53" s="46"/>
      <c r="AA53" s="45"/>
      <c r="AB53" s="46"/>
      <c r="AC53" s="45"/>
    </row>
    <row r="54" spans="4:29">
      <c r="J54" s="47"/>
      <c r="K54" s="45"/>
      <c r="L54" s="46"/>
      <c r="M54" s="45"/>
      <c r="N54" s="46"/>
      <c r="O54" s="43"/>
      <c r="P54" s="46"/>
      <c r="Q54" s="43"/>
      <c r="R54" s="46"/>
      <c r="S54" s="43"/>
      <c r="T54" s="46"/>
      <c r="U54" s="45"/>
      <c r="V54" s="46"/>
      <c r="W54" s="45"/>
      <c r="X54" s="46"/>
      <c r="Y54" s="45"/>
      <c r="Z54" s="46"/>
      <c r="AA54" s="45"/>
      <c r="AB54" s="46"/>
      <c r="AC54" s="45"/>
    </row>
    <row r="55" spans="4:29">
      <c r="J55" s="47"/>
      <c r="K55" s="45"/>
      <c r="L55" s="46"/>
      <c r="M55" s="45"/>
      <c r="N55" s="46"/>
      <c r="O55" s="43"/>
      <c r="P55" s="46"/>
      <c r="Q55" s="45"/>
      <c r="R55" s="46"/>
      <c r="S55" s="43"/>
      <c r="T55" s="46"/>
      <c r="U55" s="45"/>
      <c r="V55" s="46"/>
      <c r="W55" s="45"/>
      <c r="X55" s="46"/>
      <c r="Y55" s="45"/>
      <c r="Z55" s="46"/>
      <c r="AA55" s="45"/>
      <c r="AB55" s="46"/>
      <c r="AC55" s="45"/>
    </row>
    <row r="56" spans="4:29">
      <c r="J56" s="47"/>
      <c r="K56" s="45"/>
      <c r="L56" s="46"/>
      <c r="M56" s="45"/>
      <c r="N56" s="46"/>
      <c r="O56" s="43"/>
      <c r="P56" s="46"/>
      <c r="Q56" s="45"/>
      <c r="R56" s="46"/>
      <c r="S56" s="43"/>
      <c r="T56" s="46"/>
      <c r="U56" s="45"/>
      <c r="V56" s="46"/>
      <c r="W56" s="45"/>
      <c r="X56" s="46"/>
      <c r="Y56" s="45"/>
      <c r="Z56" s="46"/>
      <c r="AA56" s="45"/>
      <c r="AB56" s="46"/>
      <c r="AC56" s="45"/>
    </row>
    <row r="57" spans="4:29">
      <c r="J57" s="47"/>
      <c r="K57" s="45"/>
      <c r="L57" s="46"/>
      <c r="M57" s="45"/>
      <c r="N57" s="46"/>
      <c r="O57" s="43"/>
      <c r="P57" s="46"/>
      <c r="Q57" s="45"/>
      <c r="R57" s="46"/>
      <c r="S57" s="43"/>
      <c r="T57" s="46"/>
      <c r="U57" s="45"/>
      <c r="V57" s="46"/>
      <c r="W57" s="45"/>
      <c r="X57" s="46"/>
      <c r="Y57" s="45"/>
      <c r="Z57" s="46"/>
      <c r="AA57" s="45"/>
      <c r="AB57" s="46"/>
      <c r="AC57" s="45"/>
    </row>
    <row r="58" spans="4:29">
      <c r="J58" s="47"/>
      <c r="K58" s="45"/>
      <c r="L58" s="46"/>
      <c r="M58" s="45"/>
      <c r="N58" s="46"/>
      <c r="O58" s="43"/>
      <c r="P58" s="46"/>
      <c r="Q58" s="45"/>
      <c r="R58" s="46"/>
      <c r="S58" s="43"/>
      <c r="T58" s="46"/>
      <c r="U58" s="45"/>
      <c r="V58" s="46"/>
      <c r="W58" s="45"/>
      <c r="X58" s="46"/>
      <c r="Y58" s="45"/>
      <c r="Z58" s="46"/>
      <c r="AA58" s="45"/>
      <c r="AB58" s="46"/>
      <c r="AC58" s="45"/>
    </row>
    <row r="59" spans="4:29">
      <c r="J59" s="47"/>
      <c r="K59" s="45"/>
      <c r="L59" s="46"/>
      <c r="M59" s="45"/>
      <c r="N59" s="46"/>
      <c r="O59" s="43"/>
      <c r="P59" s="46"/>
      <c r="Q59" s="45"/>
      <c r="R59" s="46"/>
      <c r="S59" s="43"/>
      <c r="T59" s="46"/>
      <c r="U59" s="45"/>
      <c r="V59" s="46"/>
      <c r="W59" s="45"/>
      <c r="X59" s="46"/>
      <c r="Y59" s="45"/>
      <c r="Z59" s="46"/>
      <c r="AA59" s="45"/>
      <c r="AB59" s="46"/>
      <c r="AC59" s="45"/>
    </row>
    <row r="60" spans="4:29">
      <c r="J60" s="47"/>
      <c r="K60" s="45"/>
      <c r="L60" s="46"/>
      <c r="M60" s="45"/>
      <c r="N60" s="46"/>
      <c r="O60" s="43"/>
      <c r="P60" s="46"/>
      <c r="Q60" s="45"/>
      <c r="R60" s="46"/>
      <c r="S60" s="43"/>
      <c r="T60" s="46"/>
      <c r="U60" s="45"/>
      <c r="V60" s="46"/>
      <c r="W60" s="45"/>
      <c r="X60" s="46"/>
      <c r="Y60" s="45"/>
      <c r="Z60" s="46"/>
      <c r="AA60" s="45"/>
      <c r="AB60" s="46"/>
      <c r="AC60" s="45"/>
    </row>
    <row r="61" spans="4:29">
      <c r="J61" s="47"/>
      <c r="K61" s="45"/>
      <c r="L61" s="46"/>
      <c r="M61" s="45"/>
      <c r="N61" s="46"/>
      <c r="O61" s="43"/>
      <c r="P61" s="46"/>
      <c r="Q61" s="45"/>
      <c r="R61" s="46"/>
      <c r="S61" s="43"/>
      <c r="T61" s="46"/>
      <c r="U61" s="45"/>
      <c r="V61" s="46"/>
      <c r="W61" s="45"/>
      <c r="X61" s="46"/>
      <c r="Y61" s="45"/>
      <c r="Z61" s="46"/>
      <c r="AA61" s="45"/>
      <c r="AB61" s="46"/>
      <c r="AC61" s="45"/>
    </row>
    <row r="62" spans="4:29">
      <c r="J62" s="47"/>
      <c r="K62" s="45"/>
      <c r="L62" s="46"/>
      <c r="M62" s="45"/>
      <c r="N62" s="46"/>
      <c r="O62" s="43"/>
      <c r="P62" s="46"/>
      <c r="Q62" s="45"/>
      <c r="R62" s="46"/>
      <c r="S62" s="43"/>
      <c r="T62" s="46"/>
      <c r="U62" s="45"/>
      <c r="V62" s="46"/>
      <c r="W62" s="45"/>
      <c r="X62" s="46"/>
      <c r="Y62" s="45"/>
      <c r="Z62" s="46"/>
      <c r="AA62" s="45"/>
      <c r="AB62" s="46"/>
      <c r="AC62" s="45"/>
    </row>
    <row r="63" spans="4:29">
      <c r="J63" s="47"/>
      <c r="K63" s="45"/>
      <c r="L63" s="46"/>
      <c r="M63" s="45"/>
      <c r="N63" s="46"/>
      <c r="O63" s="43"/>
      <c r="P63" s="46"/>
      <c r="Q63" s="45"/>
      <c r="R63" s="46"/>
      <c r="S63" s="43"/>
      <c r="T63" s="46"/>
      <c r="U63" s="45"/>
      <c r="V63" s="46"/>
      <c r="W63" s="45"/>
      <c r="X63" s="46"/>
      <c r="Y63" s="45"/>
      <c r="Z63" s="46"/>
      <c r="AA63" s="45"/>
      <c r="AB63" s="46"/>
      <c r="AC63" s="45"/>
    </row>
    <row r="64" spans="4:29">
      <c r="J64" s="47"/>
      <c r="K64" s="45"/>
      <c r="L64" s="46"/>
      <c r="M64" s="45"/>
      <c r="N64" s="46"/>
      <c r="O64" s="43"/>
      <c r="P64" s="46"/>
      <c r="Q64" s="45"/>
      <c r="R64" s="46"/>
      <c r="S64" s="43"/>
      <c r="T64" s="46"/>
      <c r="U64" s="45"/>
      <c r="V64" s="46"/>
      <c r="W64" s="45"/>
      <c r="X64" s="46"/>
      <c r="Y64" s="45"/>
      <c r="Z64" s="46"/>
      <c r="AA64" s="45"/>
      <c r="AB64" s="46"/>
      <c r="AC64" s="45"/>
    </row>
    <row r="65" spans="10:29">
      <c r="J65" s="47"/>
      <c r="K65" s="45"/>
      <c r="L65" s="46"/>
      <c r="M65" s="45"/>
      <c r="N65" s="46"/>
      <c r="O65" s="43"/>
      <c r="P65" s="46"/>
      <c r="Q65" s="45"/>
      <c r="R65" s="46"/>
      <c r="S65" s="43"/>
      <c r="T65" s="46"/>
      <c r="U65" s="45"/>
      <c r="V65" s="46"/>
      <c r="W65" s="45"/>
      <c r="X65" s="46"/>
      <c r="Y65" s="45"/>
      <c r="Z65" s="46"/>
      <c r="AA65" s="45"/>
      <c r="AB65" s="46"/>
      <c r="AC65" s="45"/>
    </row>
    <row r="66" spans="10:29">
      <c r="J66" s="47"/>
      <c r="K66" s="45"/>
      <c r="L66" s="46"/>
      <c r="M66" s="45"/>
      <c r="N66" s="46"/>
      <c r="O66" s="43"/>
      <c r="P66" s="46"/>
      <c r="Q66" s="45"/>
      <c r="R66" s="46"/>
      <c r="S66" s="43"/>
      <c r="T66" s="46"/>
      <c r="U66" s="45"/>
      <c r="V66" s="46"/>
      <c r="W66" s="45"/>
      <c r="X66" s="46"/>
      <c r="Y66" s="45"/>
      <c r="Z66" s="46"/>
      <c r="AA66" s="45"/>
      <c r="AB66" s="46"/>
      <c r="AC66" s="45"/>
    </row>
    <row r="67" spans="10:29">
      <c r="J67" s="47"/>
      <c r="K67" s="45"/>
      <c r="L67" s="46"/>
      <c r="M67" s="45"/>
      <c r="N67" s="46"/>
      <c r="O67" s="45"/>
      <c r="P67" s="46"/>
      <c r="Q67" s="45"/>
      <c r="R67" s="46"/>
      <c r="S67" s="43"/>
      <c r="T67" s="46"/>
      <c r="U67" s="45"/>
      <c r="V67" s="46"/>
      <c r="W67" s="45"/>
      <c r="X67" s="46"/>
      <c r="Y67" s="45"/>
      <c r="Z67" s="46"/>
      <c r="AA67" s="45"/>
      <c r="AB67" s="46"/>
      <c r="AC67" s="45"/>
    </row>
    <row r="68" spans="10:29">
      <c r="J68" s="47"/>
      <c r="K68" s="45"/>
      <c r="L68" s="46"/>
      <c r="M68" s="45"/>
      <c r="N68" s="46"/>
      <c r="O68" s="45"/>
      <c r="P68" s="46"/>
      <c r="Q68" s="45"/>
      <c r="R68" s="46"/>
      <c r="S68" s="43"/>
      <c r="T68" s="46"/>
      <c r="U68" s="45"/>
      <c r="V68" s="46"/>
      <c r="W68" s="45"/>
      <c r="X68" s="46"/>
      <c r="Y68" s="45"/>
      <c r="Z68" s="46"/>
      <c r="AA68" s="45"/>
      <c r="AB68" s="46"/>
      <c r="AC68" s="45"/>
    </row>
    <row r="69" spans="10:29">
      <c r="J69" s="47"/>
      <c r="K69" s="45"/>
      <c r="L69" s="46"/>
      <c r="M69" s="45"/>
      <c r="N69" s="46"/>
      <c r="O69" s="45"/>
      <c r="P69" s="46"/>
      <c r="Q69" s="45"/>
      <c r="R69" s="46"/>
      <c r="S69" s="43"/>
      <c r="T69" s="46"/>
      <c r="U69" s="45"/>
      <c r="V69" s="46"/>
      <c r="W69" s="45"/>
      <c r="X69" s="46"/>
      <c r="Y69" s="45"/>
      <c r="Z69" s="46"/>
      <c r="AA69" s="45"/>
      <c r="AB69" s="46"/>
      <c r="AC69" s="45"/>
    </row>
    <row r="70" spans="10:29">
      <c r="J70" s="47"/>
      <c r="K70" s="45"/>
      <c r="L70" s="46"/>
      <c r="M70" s="45"/>
      <c r="N70" s="46"/>
      <c r="O70" s="45"/>
      <c r="P70" s="46"/>
      <c r="Q70" s="45"/>
      <c r="R70" s="46"/>
      <c r="S70" s="43"/>
      <c r="T70" s="46"/>
      <c r="U70" s="45"/>
      <c r="V70" s="46"/>
      <c r="W70" s="45"/>
      <c r="X70" s="46"/>
      <c r="Y70" s="45"/>
      <c r="Z70" s="46"/>
      <c r="AA70" s="45"/>
      <c r="AB70" s="46"/>
      <c r="AC70" s="45"/>
    </row>
    <row r="71" spans="10:29">
      <c r="J71" s="47"/>
      <c r="K71" s="45"/>
      <c r="L71" s="46"/>
      <c r="M71" s="45"/>
      <c r="N71" s="46"/>
      <c r="O71" s="45"/>
      <c r="P71" s="46"/>
      <c r="Q71" s="45"/>
      <c r="R71" s="46"/>
      <c r="S71" s="43"/>
      <c r="T71" s="46"/>
      <c r="U71" s="45"/>
      <c r="V71" s="46"/>
      <c r="W71" s="45"/>
      <c r="X71" s="46"/>
      <c r="Y71" s="45"/>
      <c r="Z71" s="46"/>
      <c r="AA71" s="45"/>
      <c r="AB71" s="46"/>
      <c r="AC71" s="45"/>
    </row>
    <row r="72" spans="10:29">
      <c r="J72" s="47"/>
      <c r="K72" s="45"/>
      <c r="L72" s="46"/>
      <c r="M72" s="45"/>
      <c r="N72" s="46"/>
      <c r="O72" s="45"/>
      <c r="P72" s="46"/>
      <c r="Q72" s="45"/>
      <c r="R72" s="46"/>
      <c r="S72" s="43"/>
      <c r="T72" s="46"/>
      <c r="U72" s="45"/>
      <c r="V72" s="46"/>
      <c r="W72" s="45"/>
      <c r="X72" s="46"/>
      <c r="Y72" s="45"/>
      <c r="Z72" s="46"/>
      <c r="AA72" s="45"/>
      <c r="AB72" s="46"/>
      <c r="AC72" s="45"/>
    </row>
    <row r="73" spans="10:29">
      <c r="J73" s="47"/>
      <c r="K73" s="45"/>
      <c r="L73" s="46"/>
      <c r="M73" s="45"/>
      <c r="N73" s="46"/>
      <c r="O73" s="45"/>
      <c r="P73" s="46"/>
      <c r="Q73" s="45"/>
      <c r="R73" s="46"/>
      <c r="S73" s="43"/>
      <c r="T73" s="46"/>
      <c r="U73" s="45"/>
      <c r="V73" s="46"/>
      <c r="W73" s="45"/>
      <c r="X73" s="46"/>
      <c r="Y73" s="45"/>
      <c r="Z73" s="46"/>
      <c r="AA73" s="45"/>
      <c r="AB73" s="46"/>
      <c r="AC73" s="45"/>
    </row>
    <row r="74" spans="10:29">
      <c r="J74" s="47"/>
      <c r="K74" s="45"/>
      <c r="L74" s="46"/>
      <c r="M74" s="45"/>
      <c r="N74" s="46"/>
      <c r="O74" s="45"/>
      <c r="P74" s="46"/>
      <c r="Q74" s="45"/>
      <c r="R74" s="46"/>
      <c r="S74" s="43"/>
      <c r="T74" s="46"/>
      <c r="U74" s="45"/>
      <c r="V74" s="46"/>
      <c r="W74" s="45"/>
      <c r="X74" s="46"/>
      <c r="Y74" s="45"/>
      <c r="Z74" s="46"/>
      <c r="AA74" s="45"/>
      <c r="AB74" s="46"/>
      <c r="AC74" s="45"/>
    </row>
    <row r="75" spans="10:29">
      <c r="J75" s="47"/>
      <c r="K75" s="45"/>
      <c r="L75" s="46"/>
      <c r="M75" s="45"/>
      <c r="N75" s="46"/>
      <c r="O75" s="45"/>
      <c r="P75" s="46"/>
      <c r="Q75" s="45"/>
      <c r="R75" s="46"/>
      <c r="S75" s="43"/>
      <c r="T75" s="46"/>
      <c r="U75" s="45"/>
      <c r="V75" s="46"/>
      <c r="W75" s="45"/>
      <c r="X75" s="46"/>
      <c r="Y75" s="45"/>
      <c r="Z75" s="46"/>
      <c r="AA75" s="45"/>
      <c r="AB75" s="46"/>
      <c r="AC75" s="45"/>
    </row>
    <row r="76" spans="10:29">
      <c r="J76" s="47"/>
      <c r="K76" s="45"/>
      <c r="L76" s="46"/>
      <c r="M76" s="45"/>
      <c r="N76" s="46"/>
      <c r="O76" s="45"/>
      <c r="P76" s="46"/>
      <c r="Q76" s="45"/>
      <c r="R76" s="46"/>
      <c r="S76" s="43"/>
      <c r="T76" s="46"/>
      <c r="U76" s="45"/>
      <c r="V76" s="46"/>
      <c r="W76" s="45"/>
      <c r="X76" s="46"/>
      <c r="Y76" s="45"/>
      <c r="Z76" s="46"/>
      <c r="AA76" s="45"/>
      <c r="AB76" s="46"/>
      <c r="AC76" s="45"/>
    </row>
    <row r="77" spans="10:29">
      <c r="J77" s="47"/>
      <c r="K77" s="45"/>
      <c r="L77" s="46"/>
      <c r="M77" s="45"/>
      <c r="N77" s="46"/>
      <c r="O77" s="45"/>
      <c r="P77" s="46"/>
      <c r="Q77" s="45"/>
      <c r="R77" s="46"/>
      <c r="S77" s="43"/>
      <c r="T77" s="46"/>
      <c r="U77" s="45"/>
      <c r="V77" s="46"/>
      <c r="W77" s="45"/>
      <c r="X77" s="46"/>
      <c r="Y77" s="45"/>
      <c r="Z77" s="46"/>
      <c r="AA77" s="45"/>
      <c r="AB77" s="46"/>
      <c r="AC77" s="45"/>
    </row>
    <row r="78" spans="10:29">
      <c r="J78" s="47"/>
      <c r="K78" s="45"/>
      <c r="L78" s="46"/>
      <c r="M78" s="45"/>
      <c r="N78" s="46"/>
      <c r="O78" s="45"/>
      <c r="P78" s="46"/>
      <c r="Q78" s="45"/>
      <c r="R78" s="46"/>
      <c r="S78" s="43"/>
      <c r="T78" s="46"/>
      <c r="U78" s="45"/>
      <c r="V78" s="46"/>
      <c r="W78" s="45"/>
      <c r="X78" s="46"/>
      <c r="Y78" s="45"/>
      <c r="Z78" s="46"/>
      <c r="AA78" s="45"/>
      <c r="AB78" s="46"/>
      <c r="AC78" s="45"/>
    </row>
    <row r="79" spans="10:29">
      <c r="J79" s="47"/>
      <c r="K79" s="45"/>
      <c r="L79" s="46"/>
      <c r="M79" s="45"/>
      <c r="N79" s="46"/>
      <c r="O79" s="45"/>
      <c r="P79" s="46"/>
      <c r="Q79" s="45"/>
      <c r="R79" s="46"/>
      <c r="S79" s="43"/>
      <c r="T79" s="46"/>
      <c r="U79" s="45"/>
      <c r="V79" s="46"/>
      <c r="W79" s="45"/>
      <c r="X79" s="46"/>
      <c r="Y79" s="45"/>
      <c r="Z79" s="46"/>
      <c r="AA79" s="45"/>
      <c r="AB79" s="46"/>
      <c r="AC79" s="45"/>
    </row>
    <row r="80" spans="10:29">
      <c r="J80" s="47"/>
      <c r="K80" s="45"/>
      <c r="L80" s="46"/>
      <c r="M80" s="45"/>
      <c r="N80" s="46"/>
      <c r="O80" s="45"/>
      <c r="P80" s="46"/>
      <c r="Q80" s="45"/>
      <c r="R80" s="46"/>
      <c r="S80" s="43"/>
      <c r="T80" s="46"/>
      <c r="U80" s="45"/>
      <c r="V80" s="46"/>
      <c r="W80" s="45"/>
      <c r="X80" s="46"/>
      <c r="Y80" s="45"/>
      <c r="Z80" s="46"/>
      <c r="AA80" s="45"/>
      <c r="AB80" s="46"/>
      <c r="AC80" s="45"/>
    </row>
    <row r="81" spans="10:29">
      <c r="J81" s="47"/>
      <c r="K81" s="45"/>
      <c r="L81" s="46"/>
      <c r="M81" s="45"/>
      <c r="N81" s="46"/>
      <c r="O81" s="45"/>
      <c r="P81" s="46"/>
      <c r="Q81" s="45"/>
      <c r="R81" s="46"/>
      <c r="S81" s="43"/>
      <c r="T81" s="46"/>
      <c r="U81" s="45"/>
      <c r="V81" s="46"/>
      <c r="W81" s="45"/>
      <c r="X81" s="46"/>
      <c r="Y81" s="45"/>
      <c r="Z81" s="46"/>
      <c r="AA81" s="45"/>
      <c r="AB81" s="46"/>
      <c r="AC81" s="45"/>
    </row>
    <row r="82" spans="10:29">
      <c r="J82" s="47"/>
      <c r="K82" s="45"/>
      <c r="L82" s="46"/>
      <c r="M82" s="45"/>
      <c r="N82" s="46"/>
      <c r="O82" s="45"/>
      <c r="P82" s="46"/>
      <c r="Q82" s="45"/>
      <c r="R82" s="46"/>
      <c r="S82" s="43"/>
      <c r="T82" s="46"/>
      <c r="U82" s="45"/>
      <c r="V82" s="46"/>
      <c r="W82" s="45"/>
      <c r="X82" s="46"/>
      <c r="Y82" s="45"/>
      <c r="Z82" s="46"/>
      <c r="AA82" s="45"/>
      <c r="AB82" s="46"/>
      <c r="AC82" s="45"/>
    </row>
    <row r="83" spans="10:29">
      <c r="J83" s="47"/>
      <c r="K83" s="45"/>
      <c r="L83" s="46"/>
      <c r="M83" s="45"/>
      <c r="N83" s="46"/>
      <c r="O83" s="45"/>
      <c r="P83" s="46"/>
      <c r="Q83" s="45"/>
      <c r="R83" s="46"/>
      <c r="S83" s="43"/>
      <c r="T83" s="46"/>
      <c r="U83" s="45"/>
      <c r="V83" s="46"/>
      <c r="W83" s="45"/>
      <c r="X83" s="46"/>
      <c r="Y83" s="45"/>
      <c r="Z83" s="46"/>
      <c r="AA83" s="45"/>
      <c r="AB83" s="46"/>
      <c r="AC83" s="45"/>
    </row>
    <row r="84" spans="10:29">
      <c r="J84" s="47"/>
      <c r="K84" s="45"/>
      <c r="L84" s="46"/>
      <c r="M84" s="45"/>
      <c r="N84" s="46"/>
      <c r="O84" s="45"/>
      <c r="P84" s="46"/>
      <c r="Q84" s="45"/>
      <c r="R84" s="46"/>
      <c r="S84" s="43"/>
      <c r="T84" s="46"/>
      <c r="U84" s="45"/>
      <c r="V84" s="46"/>
      <c r="W84" s="45"/>
      <c r="X84" s="46"/>
      <c r="Y84" s="45"/>
      <c r="Z84" s="46"/>
      <c r="AA84" s="45"/>
      <c r="AB84" s="46"/>
      <c r="AC84" s="45"/>
    </row>
    <row r="85" spans="10:29">
      <c r="J85" s="47"/>
      <c r="K85" s="45"/>
      <c r="L85" s="46"/>
      <c r="M85" s="45"/>
      <c r="N85" s="46"/>
      <c r="O85" s="45"/>
      <c r="P85" s="46"/>
      <c r="Q85" s="45"/>
      <c r="R85" s="46"/>
      <c r="S85" s="43"/>
      <c r="T85" s="46"/>
      <c r="U85" s="45"/>
      <c r="V85" s="46"/>
      <c r="W85" s="45"/>
      <c r="X85" s="46"/>
      <c r="Y85" s="45"/>
      <c r="Z85" s="46"/>
      <c r="AA85" s="45"/>
      <c r="AB85" s="46"/>
      <c r="AC85" s="45"/>
    </row>
    <row r="86" spans="10:29">
      <c r="J86" s="47"/>
      <c r="K86" s="45"/>
      <c r="L86" s="46"/>
      <c r="M86" s="45"/>
      <c r="N86" s="46"/>
      <c r="O86" s="45"/>
      <c r="P86" s="46"/>
      <c r="Q86" s="45"/>
      <c r="R86" s="46"/>
      <c r="S86" s="43"/>
      <c r="T86" s="46"/>
      <c r="U86" s="45"/>
      <c r="V86" s="46"/>
      <c r="W86" s="45"/>
      <c r="X86" s="46"/>
      <c r="Y86" s="45"/>
      <c r="Z86" s="46"/>
      <c r="AA86" s="45"/>
      <c r="AB86" s="46"/>
      <c r="AC86" s="45"/>
    </row>
    <row r="87" spans="10:29">
      <c r="J87" s="47"/>
      <c r="K87" s="45"/>
      <c r="L87" s="46"/>
      <c r="M87" s="45"/>
      <c r="N87" s="46"/>
      <c r="O87" s="45"/>
      <c r="P87" s="46"/>
      <c r="Q87" s="45"/>
      <c r="R87" s="46"/>
      <c r="S87" s="43"/>
      <c r="T87" s="46"/>
      <c r="U87" s="45"/>
      <c r="V87" s="46"/>
      <c r="W87" s="45"/>
      <c r="X87" s="46"/>
      <c r="Y87" s="45"/>
      <c r="Z87" s="46"/>
      <c r="AA87" s="45"/>
      <c r="AB87" s="46"/>
      <c r="AC87" s="45"/>
    </row>
    <row r="88" spans="10:29">
      <c r="J88" s="47"/>
      <c r="K88" s="45"/>
      <c r="L88" s="46"/>
      <c r="M88" s="45"/>
      <c r="N88" s="46"/>
      <c r="O88" s="45"/>
      <c r="P88" s="46"/>
      <c r="Q88" s="45"/>
      <c r="R88" s="46"/>
      <c r="S88" s="43"/>
      <c r="T88" s="46"/>
      <c r="U88" s="45"/>
      <c r="V88" s="46"/>
      <c r="W88" s="45"/>
      <c r="X88" s="46"/>
      <c r="Y88" s="45"/>
      <c r="Z88" s="46"/>
      <c r="AA88" s="45"/>
      <c r="AB88" s="46"/>
      <c r="AC88" s="45"/>
    </row>
    <row r="89" spans="10:29">
      <c r="J89" s="47"/>
      <c r="K89" s="45"/>
      <c r="L89" s="46"/>
      <c r="M89" s="45"/>
      <c r="N89" s="46"/>
      <c r="O89" s="45"/>
      <c r="P89" s="46"/>
      <c r="Q89" s="45"/>
      <c r="R89" s="46"/>
      <c r="S89" s="43"/>
      <c r="T89" s="46"/>
      <c r="U89" s="45"/>
      <c r="V89" s="46"/>
      <c r="W89" s="45"/>
      <c r="X89" s="46"/>
      <c r="Y89" s="45"/>
      <c r="Z89" s="46"/>
      <c r="AA89" s="45"/>
      <c r="AB89" s="46"/>
      <c r="AC89" s="45"/>
    </row>
    <row r="90" spans="10:29">
      <c r="J90" s="47"/>
      <c r="K90" s="45"/>
      <c r="L90" s="46"/>
      <c r="M90" s="45"/>
      <c r="N90" s="46"/>
      <c r="O90" s="45"/>
      <c r="P90" s="46"/>
      <c r="Q90" s="45"/>
      <c r="R90" s="46"/>
      <c r="S90" s="43"/>
      <c r="T90" s="46"/>
      <c r="U90" s="45"/>
      <c r="V90" s="46"/>
      <c r="W90" s="45"/>
      <c r="X90" s="46"/>
      <c r="Y90" s="45"/>
      <c r="Z90" s="46"/>
      <c r="AA90" s="45"/>
      <c r="AB90" s="46"/>
      <c r="AC90" s="45"/>
    </row>
    <row r="91" spans="10:29">
      <c r="J91" s="47"/>
      <c r="K91" s="45"/>
      <c r="L91" s="46"/>
      <c r="M91" s="45"/>
      <c r="N91" s="46"/>
      <c r="O91" s="45"/>
      <c r="P91" s="46"/>
      <c r="Q91" s="45"/>
      <c r="R91" s="46"/>
      <c r="S91" s="43"/>
      <c r="T91" s="46"/>
      <c r="U91" s="45"/>
      <c r="V91" s="46"/>
      <c r="W91" s="45"/>
      <c r="X91" s="46"/>
      <c r="Y91" s="45"/>
      <c r="Z91" s="46"/>
      <c r="AA91" s="45"/>
      <c r="AB91" s="46"/>
      <c r="AC91" s="45"/>
    </row>
    <row r="92" spans="10:29">
      <c r="J92" s="47"/>
      <c r="M92" s="45"/>
      <c r="N92" s="46"/>
      <c r="O92" s="45"/>
      <c r="P92" s="46"/>
      <c r="Q92" s="45"/>
      <c r="R92" s="46"/>
      <c r="S92" s="43"/>
      <c r="T92" s="46"/>
      <c r="U92" s="45"/>
      <c r="V92" s="46"/>
      <c r="W92" s="45"/>
      <c r="X92" s="46"/>
      <c r="Y92" s="45"/>
      <c r="Z92" s="46"/>
      <c r="AA92" s="45"/>
      <c r="AB92" s="46"/>
      <c r="AC92" s="45"/>
    </row>
    <row r="93" spans="10:29">
      <c r="J93" s="47"/>
      <c r="M93" s="45"/>
      <c r="N93" s="46"/>
      <c r="O93" s="45"/>
      <c r="P93" s="46"/>
      <c r="Q93" s="45"/>
      <c r="R93" s="46"/>
      <c r="S93" s="43"/>
      <c r="T93" s="46"/>
      <c r="U93" s="45"/>
      <c r="V93" s="46"/>
      <c r="W93" s="45"/>
      <c r="X93" s="46"/>
      <c r="Y93" s="45"/>
      <c r="Z93" s="46"/>
      <c r="AA93" s="45"/>
      <c r="AB93" s="46"/>
      <c r="AC93" s="45"/>
    </row>
    <row r="94" spans="10:29">
      <c r="J94" s="47"/>
      <c r="M94" s="45"/>
      <c r="N94" s="46"/>
      <c r="O94" s="45"/>
      <c r="P94" s="46"/>
      <c r="Q94" s="45"/>
      <c r="R94" s="46"/>
      <c r="S94" s="43"/>
      <c r="T94" s="46"/>
      <c r="U94" s="45"/>
      <c r="V94" s="46"/>
      <c r="W94" s="45"/>
      <c r="X94" s="46"/>
      <c r="Y94" s="45"/>
      <c r="Z94" s="46"/>
      <c r="AA94" s="45"/>
      <c r="AB94" s="46"/>
      <c r="AC94" s="45"/>
    </row>
    <row r="95" spans="10:29">
      <c r="J95" s="47"/>
      <c r="M95" s="45"/>
      <c r="N95" s="46"/>
      <c r="O95" s="45"/>
      <c r="P95" s="46"/>
      <c r="Q95" s="45"/>
      <c r="R95" s="46"/>
      <c r="S95" s="43"/>
      <c r="T95" s="46"/>
      <c r="U95" s="45"/>
      <c r="V95" s="46"/>
      <c r="W95" s="45"/>
      <c r="X95" s="46"/>
      <c r="Y95" s="45"/>
      <c r="Z95" s="46"/>
      <c r="AA95" s="45"/>
      <c r="AB95" s="46"/>
      <c r="AC95" s="45"/>
    </row>
    <row r="96" spans="10:29">
      <c r="J96" s="47"/>
      <c r="M96" s="45"/>
      <c r="N96" s="46"/>
      <c r="O96" s="45"/>
      <c r="P96" s="46"/>
      <c r="Q96" s="45"/>
      <c r="R96" s="46"/>
      <c r="S96" s="43"/>
      <c r="T96" s="46"/>
      <c r="U96" s="45"/>
      <c r="V96" s="46"/>
      <c r="W96" s="45"/>
      <c r="X96" s="46"/>
      <c r="Y96" s="45"/>
      <c r="Z96" s="46"/>
      <c r="AA96" s="45"/>
      <c r="AB96" s="46"/>
      <c r="AC96" s="45"/>
    </row>
    <row r="97" spans="10:29">
      <c r="J97" s="47"/>
      <c r="M97" s="45"/>
      <c r="N97" s="46"/>
      <c r="O97" s="45"/>
      <c r="P97" s="46"/>
      <c r="Q97" s="45"/>
      <c r="R97" s="46"/>
      <c r="S97" s="43"/>
      <c r="T97" s="46"/>
      <c r="U97" s="45"/>
      <c r="V97" s="46"/>
      <c r="W97" s="45"/>
      <c r="X97" s="46"/>
      <c r="Y97" s="45"/>
      <c r="Z97" s="46"/>
      <c r="AA97" s="45"/>
      <c r="AB97" s="46"/>
      <c r="AC97" s="45"/>
    </row>
    <row r="98" spans="10:29">
      <c r="J98" s="47"/>
      <c r="M98" s="45"/>
      <c r="N98" s="46"/>
      <c r="O98" s="45"/>
      <c r="P98" s="46"/>
      <c r="Q98" s="45"/>
      <c r="R98" s="46"/>
      <c r="S98" s="43"/>
      <c r="T98" s="46"/>
      <c r="U98" s="45"/>
      <c r="V98" s="46"/>
      <c r="W98" s="45"/>
      <c r="X98" s="46"/>
      <c r="Y98" s="45"/>
      <c r="Z98" s="46"/>
      <c r="AA98" s="45"/>
      <c r="AB98" s="46"/>
      <c r="AC98" s="45"/>
    </row>
    <row r="99" spans="10:29">
      <c r="J99" s="47"/>
      <c r="M99" s="45"/>
      <c r="N99" s="46"/>
      <c r="O99" s="45"/>
      <c r="P99" s="46"/>
      <c r="Q99" s="45"/>
      <c r="R99" s="46"/>
      <c r="S99" s="45"/>
      <c r="T99" s="46"/>
      <c r="U99" s="45"/>
      <c r="V99" s="46"/>
      <c r="W99" s="45"/>
      <c r="X99" s="46"/>
      <c r="Y99" s="45"/>
      <c r="Z99" s="46"/>
      <c r="AA99" s="45"/>
      <c r="AB99" s="46"/>
      <c r="AC99" s="45"/>
    </row>
    <row r="100" spans="10:29">
      <c r="J100" s="47"/>
      <c r="M100" s="45"/>
      <c r="N100" s="46"/>
      <c r="O100" s="45"/>
      <c r="P100" s="46"/>
      <c r="Q100" s="45"/>
      <c r="R100" s="46"/>
      <c r="S100" s="45"/>
      <c r="T100" s="46"/>
      <c r="U100" s="45"/>
      <c r="V100" s="46"/>
      <c r="W100" s="45"/>
      <c r="X100" s="46"/>
      <c r="Y100" s="45"/>
      <c r="Z100" s="46"/>
      <c r="AA100" s="45"/>
      <c r="AB100" s="46"/>
      <c r="AC100" s="45"/>
    </row>
    <row r="101" spans="10:29">
      <c r="J101" s="47"/>
      <c r="M101" s="45"/>
      <c r="N101" s="46"/>
      <c r="O101" s="45"/>
      <c r="P101" s="46"/>
      <c r="Q101" s="45"/>
      <c r="R101" s="46"/>
      <c r="S101" s="45"/>
      <c r="T101" s="46"/>
      <c r="U101" s="45"/>
      <c r="V101" s="46"/>
      <c r="W101" s="45"/>
      <c r="X101" s="46"/>
      <c r="Y101" s="45"/>
      <c r="Z101" s="46"/>
      <c r="AA101" s="45"/>
      <c r="AB101" s="46"/>
      <c r="AC101" s="45"/>
    </row>
    <row r="102" spans="10:29">
      <c r="J102" s="47"/>
      <c r="M102" s="45"/>
      <c r="N102" s="46"/>
      <c r="O102" s="45"/>
      <c r="P102" s="46"/>
      <c r="Q102" s="45"/>
      <c r="R102" s="46"/>
      <c r="S102" s="45"/>
      <c r="T102" s="46"/>
      <c r="U102" s="45"/>
      <c r="V102" s="46"/>
      <c r="W102" s="45"/>
      <c r="X102" s="46"/>
      <c r="Y102" s="45"/>
      <c r="Z102" s="46"/>
      <c r="AA102" s="45"/>
      <c r="AB102" s="46"/>
      <c r="AC102" s="45"/>
    </row>
    <row r="103" spans="10:29">
      <c r="J103" s="47"/>
      <c r="M103" s="45"/>
      <c r="N103" s="46"/>
      <c r="O103" s="45"/>
      <c r="P103" s="46"/>
      <c r="Q103" s="45"/>
      <c r="R103" s="46"/>
      <c r="S103" s="45"/>
      <c r="T103" s="46"/>
      <c r="U103" s="45"/>
      <c r="V103" s="46"/>
      <c r="W103" s="45"/>
      <c r="X103" s="46"/>
      <c r="Y103" s="45"/>
      <c r="Z103" s="46"/>
      <c r="AA103" s="45"/>
      <c r="AB103" s="46"/>
      <c r="AC103" s="45"/>
    </row>
    <row r="104" spans="10:29">
      <c r="J104" s="47"/>
      <c r="M104" s="45"/>
      <c r="N104" s="46"/>
      <c r="O104" s="45"/>
      <c r="P104" s="46"/>
      <c r="Q104" s="45"/>
      <c r="R104" s="46"/>
      <c r="S104" s="45"/>
      <c r="T104" s="46"/>
      <c r="U104" s="45"/>
      <c r="V104" s="46"/>
      <c r="W104" s="45"/>
      <c r="X104" s="46"/>
      <c r="Y104" s="45"/>
      <c r="Z104" s="46"/>
      <c r="AA104" s="45"/>
      <c r="AB104" s="46"/>
      <c r="AC104" s="45"/>
    </row>
    <row r="105" spans="10:29">
      <c r="J105" s="47"/>
      <c r="M105" s="45"/>
      <c r="N105" s="46"/>
      <c r="O105" s="45"/>
      <c r="P105" s="46"/>
      <c r="Q105" s="45"/>
      <c r="R105" s="46"/>
      <c r="S105" s="45"/>
      <c r="T105" s="46"/>
      <c r="U105" s="45"/>
      <c r="V105" s="46"/>
      <c r="W105" s="45"/>
      <c r="X105" s="46"/>
      <c r="Y105" s="45"/>
      <c r="Z105" s="46"/>
      <c r="AA105" s="45"/>
      <c r="AB105" s="46"/>
      <c r="AC105" s="45"/>
    </row>
    <row r="106" spans="10:29">
      <c r="J106" s="47"/>
      <c r="M106" s="45"/>
      <c r="N106" s="46"/>
      <c r="O106" s="45"/>
      <c r="P106" s="46"/>
      <c r="Q106" s="45"/>
      <c r="R106" s="46"/>
      <c r="S106" s="45"/>
      <c r="T106" s="46"/>
      <c r="U106" s="45"/>
      <c r="V106" s="46"/>
      <c r="W106" s="45"/>
      <c r="X106" s="46"/>
      <c r="Y106" s="45"/>
      <c r="Z106" s="46"/>
      <c r="AA106" s="45"/>
      <c r="AB106" s="46"/>
      <c r="AC106" s="45"/>
    </row>
    <row r="107" spans="10:29">
      <c r="J107" s="47"/>
      <c r="M107" s="45"/>
      <c r="N107" s="46"/>
      <c r="O107" s="45"/>
      <c r="P107" s="46"/>
      <c r="Q107" s="45"/>
      <c r="R107" s="46"/>
      <c r="S107" s="45"/>
      <c r="T107" s="46"/>
      <c r="U107" s="45"/>
      <c r="V107" s="46"/>
      <c r="W107" s="45"/>
      <c r="X107" s="46"/>
      <c r="Y107" s="45"/>
      <c r="Z107" s="46"/>
      <c r="AA107" s="45"/>
      <c r="AB107" s="46"/>
      <c r="AC107" s="45"/>
    </row>
    <row r="108" spans="10:29">
      <c r="J108" s="47"/>
      <c r="M108" s="45"/>
      <c r="N108" s="46"/>
      <c r="O108" s="45"/>
      <c r="P108" s="46"/>
      <c r="Q108" s="45"/>
      <c r="R108" s="46"/>
      <c r="S108" s="45"/>
      <c r="T108" s="46"/>
      <c r="U108" s="45"/>
      <c r="V108" s="46"/>
      <c r="W108" s="45"/>
      <c r="X108" s="46"/>
      <c r="Y108" s="45"/>
      <c r="Z108" s="46"/>
      <c r="AA108" s="45"/>
      <c r="AB108" s="46"/>
      <c r="AC108" s="45"/>
    </row>
    <row r="109" spans="10:29">
      <c r="J109" s="47"/>
      <c r="M109" s="45"/>
      <c r="N109" s="46"/>
      <c r="O109" s="45"/>
      <c r="P109" s="46"/>
      <c r="Q109" s="45"/>
      <c r="R109" s="46"/>
      <c r="S109" s="45"/>
      <c r="T109" s="46"/>
      <c r="U109" s="45"/>
      <c r="V109" s="46"/>
      <c r="W109" s="45"/>
      <c r="X109" s="46"/>
      <c r="Y109" s="45"/>
      <c r="Z109" s="46"/>
      <c r="AA109" s="45"/>
      <c r="AB109" s="46"/>
      <c r="AC109" s="45"/>
    </row>
    <row r="110" spans="10:29">
      <c r="J110" s="47"/>
      <c r="M110" s="45"/>
      <c r="N110" s="46"/>
      <c r="O110" s="45"/>
      <c r="P110" s="46"/>
      <c r="Q110" s="45"/>
      <c r="R110" s="46"/>
      <c r="S110" s="45"/>
      <c r="T110" s="46"/>
      <c r="U110" s="45"/>
      <c r="V110" s="46"/>
      <c r="W110" s="45"/>
      <c r="X110" s="46"/>
      <c r="Y110" s="45"/>
      <c r="Z110" s="46"/>
      <c r="AA110" s="45"/>
      <c r="AB110" s="46"/>
      <c r="AC110" s="45"/>
    </row>
    <row r="111" spans="10:29">
      <c r="J111" s="47"/>
      <c r="M111" s="45"/>
      <c r="N111" s="46"/>
      <c r="O111" s="45"/>
      <c r="P111" s="46"/>
      <c r="Q111" s="45"/>
      <c r="R111" s="46"/>
      <c r="S111" s="45"/>
      <c r="T111" s="46"/>
      <c r="U111" s="45"/>
      <c r="V111" s="46"/>
      <c r="W111" s="45"/>
      <c r="X111" s="46"/>
      <c r="Y111" s="45"/>
      <c r="Z111" s="46"/>
      <c r="AA111" s="45"/>
      <c r="AB111" s="46"/>
      <c r="AC111" s="45"/>
    </row>
    <row r="112" spans="10:29">
      <c r="J112" s="47"/>
      <c r="M112" s="45"/>
      <c r="N112" s="46"/>
      <c r="O112" s="45"/>
      <c r="P112" s="46"/>
      <c r="Q112" s="45"/>
      <c r="R112" s="46"/>
      <c r="S112" s="45"/>
      <c r="T112" s="46"/>
      <c r="U112" s="45"/>
      <c r="V112" s="46"/>
      <c r="W112" s="45"/>
      <c r="X112" s="46"/>
      <c r="Y112" s="45"/>
      <c r="Z112" s="46"/>
      <c r="AA112" s="45"/>
      <c r="AB112" s="46"/>
      <c r="AC112" s="45"/>
    </row>
    <row r="113" spans="10:29">
      <c r="J113" s="47"/>
      <c r="M113" s="45"/>
      <c r="N113" s="46"/>
      <c r="O113" s="45"/>
      <c r="P113" s="46"/>
      <c r="Q113" s="45"/>
      <c r="R113" s="46"/>
      <c r="S113" s="45"/>
      <c r="T113" s="46"/>
      <c r="U113" s="45"/>
      <c r="V113" s="46"/>
      <c r="W113" s="45"/>
      <c r="X113" s="46"/>
      <c r="Y113" s="45"/>
      <c r="Z113" s="46"/>
      <c r="AA113" s="45"/>
      <c r="AB113" s="46"/>
      <c r="AC113" s="45"/>
    </row>
    <row r="114" spans="10:29">
      <c r="J114" s="47"/>
      <c r="M114" s="45"/>
      <c r="N114" s="46"/>
      <c r="O114" s="45"/>
      <c r="P114" s="46"/>
      <c r="Q114" s="45"/>
      <c r="R114" s="46"/>
      <c r="S114" s="45"/>
      <c r="T114" s="46"/>
      <c r="U114" s="45"/>
      <c r="V114" s="46"/>
      <c r="W114" s="45"/>
      <c r="X114" s="46"/>
      <c r="Y114" s="45"/>
      <c r="Z114" s="46"/>
      <c r="AA114" s="45"/>
      <c r="AB114" s="46"/>
      <c r="AC114" s="45"/>
    </row>
    <row r="115" spans="10:29">
      <c r="J115" s="47"/>
      <c r="M115" s="45"/>
      <c r="N115" s="46"/>
      <c r="O115" s="45"/>
      <c r="P115" s="46"/>
      <c r="Q115" s="45"/>
      <c r="R115" s="46"/>
      <c r="S115" s="45"/>
      <c r="T115" s="46"/>
      <c r="U115" s="45"/>
      <c r="V115" s="46"/>
      <c r="W115" s="45"/>
      <c r="X115" s="46"/>
      <c r="Y115" s="45"/>
      <c r="Z115" s="46"/>
      <c r="AA115" s="45"/>
      <c r="AB115" s="46"/>
      <c r="AC115" s="45"/>
    </row>
    <row r="116" spans="10:29">
      <c r="J116" s="47"/>
      <c r="M116" s="45"/>
      <c r="N116" s="46"/>
      <c r="O116" s="45"/>
      <c r="P116" s="46"/>
      <c r="Q116" s="45"/>
      <c r="R116" s="46"/>
      <c r="S116" s="45"/>
      <c r="T116" s="46"/>
      <c r="U116" s="45"/>
      <c r="V116" s="46"/>
      <c r="W116" s="45"/>
      <c r="X116" s="46"/>
      <c r="Y116" s="45"/>
      <c r="Z116" s="46"/>
      <c r="AA116" s="45"/>
      <c r="AB116" s="46"/>
      <c r="AC116" s="45"/>
    </row>
    <row r="117" spans="10:29">
      <c r="J117" s="47"/>
      <c r="M117" s="45"/>
      <c r="N117" s="46"/>
      <c r="O117" s="45"/>
      <c r="P117" s="46"/>
      <c r="Q117" s="45"/>
      <c r="R117" s="46"/>
      <c r="S117" s="45"/>
      <c r="T117" s="46"/>
      <c r="U117" s="45"/>
      <c r="V117" s="46"/>
      <c r="W117" s="45"/>
      <c r="X117" s="46"/>
      <c r="Y117" s="45"/>
      <c r="Z117" s="46"/>
      <c r="AA117" s="45"/>
      <c r="AB117" s="46"/>
      <c r="AC117" s="45"/>
    </row>
  </sheetData>
  <phoneticPr fontId="2" type="noConversion"/>
  <conditionalFormatting sqref="D25:D26 D16:D17 D6:D8 D10:D13 D1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{FC247150-4DE6-4155-A91F-8D6D1592D071}</x14:id>
        </ext>
      </extLst>
    </cfRule>
  </conditionalFormatting>
  <conditionalFormatting sqref="C6:C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{5081E7A2-4493-452F-9A12-5746E88620D3}</x14:id>
        </ext>
      </extLst>
    </cfRule>
  </conditionalFormatting>
  <conditionalFormatting sqref="D2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{97AB80C3-90B0-42C8-AA7C-8E5AAFD63CA3}</x14:id>
        </ext>
      </extLst>
    </cfRule>
  </conditionalFormatting>
  <conditionalFormatting sqref="D14:D1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{1E50C317-9383-41C0-A15B-438A439F8964}</x14:id>
        </ext>
      </extLst>
    </cfRule>
  </conditionalFormatting>
  <conditionalFormatting sqref="D21:D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{C6F1E640-9009-4524-8171-312480B455A5}</x14:id>
        </ext>
      </extLst>
    </cfRule>
  </conditionalFormatting>
  <conditionalFormatting sqref="D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{142F3E5A-7FBC-4C10-B5C8-0EBCF7310901}</x14:id>
        </ext>
      </extLst>
    </cfRule>
  </conditionalFormatting>
  <conditionalFormatting sqref="D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{9B13E450-46AC-42BC-A31F-2C8E608D2EBE}</x14:id>
        </ext>
      </extLst>
    </cfRule>
  </conditionalFormatting>
  <conditionalFormatting sqref="D1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{C97E21D0-FBB6-40CD-B007-2CEBAF86094F}</x14:id>
        </ext>
      </extLst>
    </cfRule>
  </conditionalFormatting>
  <conditionalFormatting sqref="D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{3980A16E-F1F1-4EC0-B0F4-9394F18C02E0}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247150-4DE6-4155-A91F-8D6D1592D0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D25:D26 D16:D17 D6:D8 D10:D13 D19</xm:sqref>
        </x14:conditionalFormatting>
        <x14:conditionalFormatting xmlns:xm="http://schemas.microsoft.com/office/excel/2006/main">
          <x14:cfRule type="dataBar" id="{5081E7A2-4493-452F-9A12-5746E88620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D24</xm:sqref>
        </x14:conditionalFormatting>
        <x14:conditionalFormatting xmlns:xm="http://schemas.microsoft.com/office/excel/2006/main">
          <x14:cfRule type="dataBar" id="{97AB80C3-90B0-42C8-AA7C-8E5AAFD63C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D20</xm:sqref>
        </x14:conditionalFormatting>
        <x14:conditionalFormatting xmlns:xm="http://schemas.microsoft.com/office/excel/2006/main">
          <x14:cfRule type="dataBar" id="{1E50C317-9383-41C0-A15B-438A439F89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D14:D15</xm:sqref>
        </x14:conditionalFormatting>
        <x14:conditionalFormatting xmlns:xm="http://schemas.microsoft.com/office/excel/2006/main">
          <x14:cfRule type="dataBar" id="{C6F1E640-9009-4524-8171-312480B455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D21:D22</xm:sqref>
        </x14:conditionalFormatting>
        <x14:conditionalFormatting xmlns:xm="http://schemas.microsoft.com/office/excel/2006/main">
          <x14:cfRule type="dataBar" id="{142F3E5A-7FBC-4C10-B5C8-0EBCF73109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9B13E450-46AC-42BC-A31F-2C8E608D2E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D23</xm:sqref>
        </x14:conditionalFormatting>
        <x14:conditionalFormatting xmlns:xm="http://schemas.microsoft.com/office/excel/2006/main">
          <x14:cfRule type="dataBar" id="{C97E21D0-FBB6-40CD-B007-2CEBAF8609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3980A16E-F1F1-4EC0-B0F4-9394F18C0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定义!$D$3:$D$31</xm:f>
          </x14:formula1>
          <xm:sqref>K36:K117 J6:J7 J17:J19 J23 J10 J25:J26 J28:J117</xm:sqref>
        </x14:dataValidation>
        <x14:dataValidation type="list" allowBlank="1" showInputMessage="1" showErrorMessage="1">
          <x14:formula1>
            <xm:f>定义!$D$3:$D$34</xm:f>
          </x14:formula1>
          <xm:sqref>J24</xm:sqref>
        </x14:dataValidation>
        <x14:dataValidation type="list" allowBlank="1" showInputMessage="1" showErrorMessage="1">
          <x14:formula1>
            <xm:f>定义!$D$3:$D$34</xm:f>
          </x14:formula1>
          <xm:sqref>J20:J22</xm:sqref>
        </x14:dataValidation>
        <x14:dataValidation type="list" allowBlank="1" showInputMessage="1" showErrorMessage="1">
          <x14:formula1>
            <xm:f>定义!$D$3:$D$34</xm:f>
          </x14:formula1>
          <xm:sqref>J8:J9</xm:sqref>
        </x14:dataValidation>
        <x14:dataValidation type="list" allowBlank="1" showInputMessage="1" showErrorMessage="1">
          <x14:formula1>
            <xm:f>定义!$D$3:$D$34</xm:f>
          </x14:formula1>
          <xm:sqref>J11:J16</xm:sqref>
        </x14:dataValidation>
        <x14:dataValidation type="list" allowBlank="1" showInputMessage="1" showErrorMessage="1">
          <x14:formula1>
            <xm:f>定义!$D$3:$D$34</xm:f>
          </x14:formula1>
          <xm:sqref>J27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64"/>
  <sheetViews>
    <sheetView topLeftCell="A13" workbookViewId="0">
      <selection activeCell="B1" sqref="B1"/>
    </sheetView>
  </sheetViews>
  <sheetFormatPr defaultRowHeight="13.5"/>
  <cols>
    <col min="2" max="2" width="42.75" bestFit="1" customWidth="1"/>
  </cols>
  <sheetData>
    <row r="1" spans="1:2">
      <c r="A1" t="s">
        <v>625</v>
      </c>
      <c r="B1" t="s">
        <v>626</v>
      </c>
    </row>
    <row r="2" spans="1:2">
      <c r="B2" t="s">
        <v>627</v>
      </c>
    </row>
    <row r="3" spans="1:2">
      <c r="B3" t="s">
        <v>628</v>
      </c>
    </row>
    <row r="4" spans="1:2">
      <c r="B4" t="s">
        <v>629</v>
      </c>
    </row>
    <row r="5" spans="1:2">
      <c r="B5" t="s">
        <v>630</v>
      </c>
    </row>
    <row r="6" spans="1:2">
      <c r="B6" t="s">
        <v>631</v>
      </c>
    </row>
    <row r="7" spans="1:2">
      <c r="B7" t="s">
        <v>632</v>
      </c>
    </row>
    <row r="8" spans="1:2">
      <c r="B8" t="s">
        <v>633</v>
      </c>
    </row>
    <row r="9" spans="1:2">
      <c r="B9" t="s">
        <v>634</v>
      </c>
    </row>
    <row r="10" spans="1:2">
      <c r="B10" t="s">
        <v>635</v>
      </c>
    </row>
    <row r="11" spans="1:2">
      <c r="B11" t="s">
        <v>636</v>
      </c>
    </row>
    <row r="12" spans="1:2">
      <c r="B12" t="s">
        <v>637</v>
      </c>
    </row>
    <row r="13" spans="1:2">
      <c r="B13" t="s">
        <v>638</v>
      </c>
    </row>
    <row r="14" spans="1:2">
      <c r="B14" t="s">
        <v>639</v>
      </c>
    </row>
    <row r="15" spans="1:2">
      <c r="B15" t="s">
        <v>640</v>
      </c>
    </row>
    <row r="16" spans="1:2">
      <c r="B16" t="s">
        <v>641</v>
      </c>
    </row>
    <row r="17" spans="2:2">
      <c r="B17" t="s">
        <v>642</v>
      </c>
    </row>
    <row r="18" spans="2:2">
      <c r="B18" t="s">
        <v>643</v>
      </c>
    </row>
    <row r="19" spans="2:2">
      <c r="B19" t="s">
        <v>644</v>
      </c>
    </row>
    <row r="20" spans="2:2">
      <c r="B20" t="s">
        <v>645</v>
      </c>
    </row>
    <row r="21" spans="2:2">
      <c r="B21" t="s">
        <v>646</v>
      </c>
    </row>
    <row r="22" spans="2:2">
      <c r="B22" t="s">
        <v>880</v>
      </c>
    </row>
    <row r="23" spans="2:2">
      <c r="B23" t="s">
        <v>647</v>
      </c>
    </row>
    <row r="24" spans="2:2">
      <c r="B24" t="s">
        <v>648</v>
      </c>
    </row>
    <row r="25" spans="2:2">
      <c r="B25" t="s">
        <v>649</v>
      </c>
    </row>
    <row r="26" spans="2:2">
      <c r="B26" t="s">
        <v>629</v>
      </c>
    </row>
    <row r="27" spans="2:2">
      <c r="B27" t="s">
        <v>650</v>
      </c>
    </row>
    <row r="28" spans="2:2">
      <c r="B28" t="s">
        <v>631</v>
      </c>
    </row>
    <row r="29" spans="2:2">
      <c r="B29" t="s">
        <v>632</v>
      </c>
    </row>
    <row r="30" spans="2:2">
      <c r="B30" t="s">
        <v>633</v>
      </c>
    </row>
    <row r="31" spans="2:2">
      <c r="B31" t="s">
        <v>634</v>
      </c>
    </row>
    <row r="32" spans="2:2">
      <c r="B32" t="s">
        <v>651</v>
      </c>
    </row>
    <row r="33" spans="2:2">
      <c r="B33" t="s">
        <v>652</v>
      </c>
    </row>
    <row r="34" spans="2:2">
      <c r="B34" t="s">
        <v>653</v>
      </c>
    </row>
    <row r="35" spans="2:2">
      <c r="B35" t="s">
        <v>654</v>
      </c>
    </row>
    <row r="36" spans="2:2">
      <c r="B36" t="s">
        <v>639</v>
      </c>
    </row>
    <row r="37" spans="2:2">
      <c r="B37" t="s">
        <v>640</v>
      </c>
    </row>
    <row r="38" spans="2:2">
      <c r="B38" t="s">
        <v>641</v>
      </c>
    </row>
    <row r="39" spans="2:2">
      <c r="B39" t="s">
        <v>642</v>
      </c>
    </row>
    <row r="40" spans="2:2">
      <c r="B40" t="s">
        <v>643</v>
      </c>
    </row>
    <row r="41" spans="2:2">
      <c r="B41" t="s">
        <v>644</v>
      </c>
    </row>
    <row r="42" spans="2:2">
      <c r="B42" t="s">
        <v>645</v>
      </c>
    </row>
    <row r="43" spans="2:2">
      <c r="B43" t="s">
        <v>646</v>
      </c>
    </row>
    <row r="44" spans="2:2">
      <c r="B44" t="s">
        <v>881</v>
      </c>
    </row>
    <row r="45" spans="2:2">
      <c r="B45" t="s">
        <v>647</v>
      </c>
    </row>
    <row r="46" spans="2:2">
      <c r="B46" t="s">
        <v>659</v>
      </c>
    </row>
    <row r="47" spans="2:2">
      <c r="B47" t="s">
        <v>660</v>
      </c>
    </row>
    <row r="48" spans="2:2">
      <c r="B48" t="s">
        <v>629</v>
      </c>
    </row>
    <row r="49" spans="2:2">
      <c r="B49" t="s">
        <v>684</v>
      </c>
    </row>
    <row r="50" spans="2:2">
      <c r="B50" t="s">
        <v>661</v>
      </c>
    </row>
    <row r="51" spans="2:2">
      <c r="B51" t="s">
        <v>655</v>
      </c>
    </row>
    <row r="52" spans="2:2">
      <c r="B52" t="s">
        <v>633</v>
      </c>
    </row>
    <row r="53" spans="2:2">
      <c r="B53" t="s">
        <v>656</v>
      </c>
    </row>
    <row r="54" spans="2:2">
      <c r="B54" t="s">
        <v>662</v>
      </c>
    </row>
    <row r="55" spans="2:2">
      <c r="B55" t="s">
        <v>878</v>
      </c>
    </row>
    <row r="56" spans="2:2">
      <c r="B56" t="s">
        <v>664</v>
      </c>
    </row>
    <row r="57" spans="2:2">
      <c r="B57" t="s">
        <v>665</v>
      </c>
    </row>
    <row r="58" spans="2:2">
      <c r="B58" t="s">
        <v>666</v>
      </c>
    </row>
    <row r="59" spans="2:2">
      <c r="B59" t="s">
        <v>667</v>
      </c>
    </row>
    <row r="60" spans="2:2">
      <c r="B60" t="s">
        <v>668</v>
      </c>
    </row>
    <row r="61" spans="2:2">
      <c r="B61" t="s">
        <v>642</v>
      </c>
    </row>
    <row r="62" spans="2:2">
      <c r="B62" t="s">
        <v>643</v>
      </c>
    </row>
    <row r="63" spans="2:2">
      <c r="B63" t="s">
        <v>644</v>
      </c>
    </row>
    <row r="64" spans="2:2">
      <c r="B64" t="s">
        <v>645</v>
      </c>
    </row>
    <row r="65" spans="2:2">
      <c r="B65" t="s">
        <v>646</v>
      </c>
    </row>
    <row r="66" spans="2:2">
      <c r="B66" t="s">
        <v>881</v>
      </c>
    </row>
    <row r="67" spans="2:2">
      <c r="B67" t="s">
        <v>647</v>
      </c>
    </row>
    <row r="68" spans="2:2">
      <c r="B68" t="s">
        <v>682</v>
      </c>
    </row>
    <row r="69" spans="2:2">
      <c r="B69" t="s">
        <v>683</v>
      </c>
    </row>
    <row r="70" spans="2:2">
      <c r="B70" t="s">
        <v>629</v>
      </c>
    </row>
    <row r="71" spans="2:2">
      <c r="B71" t="s">
        <v>684</v>
      </c>
    </row>
    <row r="72" spans="2:2">
      <c r="B72" t="s">
        <v>661</v>
      </c>
    </row>
    <row r="73" spans="2:2">
      <c r="B73" t="s">
        <v>632</v>
      </c>
    </row>
    <row r="74" spans="2:2">
      <c r="B74" t="s">
        <v>633</v>
      </c>
    </row>
    <row r="75" spans="2:2">
      <c r="B75" t="s">
        <v>669</v>
      </c>
    </row>
    <row r="76" spans="2:2">
      <c r="B76" t="s">
        <v>670</v>
      </c>
    </row>
    <row r="77" spans="2:2">
      <c r="B77" t="s">
        <v>685</v>
      </c>
    </row>
    <row r="78" spans="2:2">
      <c r="B78" t="s">
        <v>657</v>
      </c>
    </row>
    <row r="79" spans="2:2">
      <c r="B79" t="s">
        <v>654</v>
      </c>
    </row>
    <row r="80" spans="2:2">
      <c r="B80" t="s">
        <v>639</v>
      </c>
    </row>
    <row r="81" spans="2:2">
      <c r="B81" t="s">
        <v>640</v>
      </c>
    </row>
    <row r="82" spans="2:2">
      <c r="B82" t="s">
        <v>641</v>
      </c>
    </row>
    <row r="83" spans="2:2">
      <c r="B83" t="s">
        <v>642</v>
      </c>
    </row>
    <row r="84" spans="2:2">
      <c r="B84" t="s">
        <v>643</v>
      </c>
    </row>
    <row r="85" spans="2:2">
      <c r="B85" t="s">
        <v>644</v>
      </c>
    </row>
    <row r="86" spans="2:2">
      <c r="B86" t="s">
        <v>645</v>
      </c>
    </row>
    <row r="87" spans="2:2">
      <c r="B87" t="s">
        <v>646</v>
      </c>
    </row>
    <row r="88" spans="2:2">
      <c r="B88" t="s">
        <v>881</v>
      </c>
    </row>
    <row r="89" spans="2:2">
      <c r="B89" t="s">
        <v>647</v>
      </c>
    </row>
    <row r="90" spans="2:2">
      <c r="B90" t="s">
        <v>686</v>
      </c>
    </row>
    <row r="91" spans="2:2">
      <c r="B91" t="s">
        <v>687</v>
      </c>
    </row>
    <row r="92" spans="2:2">
      <c r="B92" t="s">
        <v>688</v>
      </c>
    </row>
    <row r="93" spans="2:2">
      <c r="B93" t="s">
        <v>630</v>
      </c>
    </row>
    <row r="94" spans="2:2">
      <c r="B94" t="s">
        <v>631</v>
      </c>
    </row>
    <row r="95" spans="2:2">
      <c r="B95" t="s">
        <v>632</v>
      </c>
    </row>
    <row r="96" spans="2:2">
      <c r="B96" t="s">
        <v>633</v>
      </c>
    </row>
    <row r="97" spans="2:2">
      <c r="B97" t="s">
        <v>634</v>
      </c>
    </row>
    <row r="98" spans="2:2">
      <c r="B98" t="s">
        <v>635</v>
      </c>
    </row>
    <row r="99" spans="2:2">
      <c r="B99" t="s">
        <v>636</v>
      </c>
    </row>
    <row r="100" spans="2:2">
      <c r="B100" t="s">
        <v>637</v>
      </c>
    </row>
    <row r="101" spans="2:2">
      <c r="B101" t="s">
        <v>638</v>
      </c>
    </row>
    <row r="102" spans="2:2">
      <c r="B102" t="s">
        <v>639</v>
      </c>
    </row>
    <row r="103" spans="2:2">
      <c r="B103" t="s">
        <v>640</v>
      </c>
    </row>
    <row r="104" spans="2:2">
      <c r="B104" t="s">
        <v>641</v>
      </c>
    </row>
    <row r="105" spans="2:2">
      <c r="B105" t="s">
        <v>642</v>
      </c>
    </row>
    <row r="106" spans="2:2">
      <c r="B106" t="s">
        <v>643</v>
      </c>
    </row>
    <row r="107" spans="2:2">
      <c r="B107" t="s">
        <v>644</v>
      </c>
    </row>
    <row r="108" spans="2:2">
      <c r="B108" t="s">
        <v>645</v>
      </c>
    </row>
    <row r="109" spans="2:2">
      <c r="B109" t="s">
        <v>646</v>
      </c>
    </row>
    <row r="110" spans="2:2">
      <c r="B110" t="s">
        <v>881</v>
      </c>
    </row>
    <row r="111" spans="2:2">
      <c r="B111" t="s">
        <v>647</v>
      </c>
    </row>
    <row r="112" spans="2:2">
      <c r="B112" t="s">
        <v>689</v>
      </c>
    </row>
    <row r="113" spans="2:2">
      <c r="B113" t="s">
        <v>690</v>
      </c>
    </row>
    <row r="114" spans="2:2">
      <c r="B114" t="s">
        <v>688</v>
      </c>
    </row>
    <row r="115" spans="2:2">
      <c r="B115" t="s">
        <v>650</v>
      </c>
    </row>
    <row r="116" spans="2:2">
      <c r="B116" t="s">
        <v>691</v>
      </c>
    </row>
    <row r="117" spans="2:2">
      <c r="B117" t="s">
        <v>632</v>
      </c>
    </row>
    <row r="118" spans="2:2">
      <c r="B118" t="s">
        <v>633</v>
      </c>
    </row>
    <row r="119" spans="2:2">
      <c r="B119" t="s">
        <v>656</v>
      </c>
    </row>
    <row r="120" spans="2:2">
      <c r="B120" t="s">
        <v>662</v>
      </c>
    </row>
    <row r="121" spans="2:2">
      <c r="B121" t="s">
        <v>663</v>
      </c>
    </row>
    <row r="122" spans="2:2">
      <c r="B122" t="s">
        <v>664</v>
      </c>
    </row>
    <row r="123" spans="2:2">
      <c r="B123" t="s">
        <v>665</v>
      </c>
    </row>
    <row r="124" spans="2:2">
      <c r="B124" t="s">
        <v>666</v>
      </c>
    </row>
    <row r="125" spans="2:2">
      <c r="B125" t="s">
        <v>667</v>
      </c>
    </row>
    <row r="126" spans="2:2">
      <c r="B126" t="s">
        <v>668</v>
      </c>
    </row>
    <row r="127" spans="2:2">
      <c r="B127" t="s">
        <v>642</v>
      </c>
    </row>
    <row r="128" spans="2:2">
      <c r="B128" t="s">
        <v>643</v>
      </c>
    </row>
    <row r="129" spans="2:2">
      <c r="B129" t="s">
        <v>644</v>
      </c>
    </row>
    <row r="130" spans="2:2">
      <c r="B130" t="s">
        <v>645</v>
      </c>
    </row>
    <row r="131" spans="2:2">
      <c r="B131" t="s">
        <v>646</v>
      </c>
    </row>
    <row r="132" spans="2:2">
      <c r="B132" t="s">
        <v>881</v>
      </c>
    </row>
    <row r="133" spans="2:2">
      <c r="B133" t="s">
        <v>647</v>
      </c>
    </row>
    <row r="134" spans="2:2">
      <c r="B134" t="s">
        <v>692</v>
      </c>
    </row>
    <row r="135" spans="2:2">
      <c r="B135" t="s">
        <v>693</v>
      </c>
    </row>
    <row r="136" spans="2:2">
      <c r="B136" t="s">
        <v>688</v>
      </c>
    </row>
    <row r="137" spans="2:2">
      <c r="B137" t="s">
        <v>650</v>
      </c>
    </row>
    <row r="138" spans="2:2">
      <c r="B138" t="s">
        <v>691</v>
      </c>
    </row>
    <row r="139" spans="2:2">
      <c r="B139" t="s">
        <v>632</v>
      </c>
    </row>
    <row r="140" spans="2:2">
      <c r="B140" t="s">
        <v>633</v>
      </c>
    </row>
    <row r="141" spans="2:2">
      <c r="B141" t="s">
        <v>669</v>
      </c>
    </row>
    <row r="142" spans="2:2">
      <c r="B142" t="s">
        <v>670</v>
      </c>
    </row>
    <row r="143" spans="2:2">
      <c r="B143" t="s">
        <v>671</v>
      </c>
    </row>
    <row r="144" spans="2:2">
      <c r="B144" t="s">
        <v>657</v>
      </c>
    </row>
    <row r="145" spans="2:2">
      <c r="B145" t="s">
        <v>654</v>
      </c>
    </row>
    <row r="146" spans="2:2">
      <c r="B146" t="s">
        <v>639</v>
      </c>
    </row>
    <row r="147" spans="2:2">
      <c r="B147" t="s">
        <v>640</v>
      </c>
    </row>
    <row r="148" spans="2:2">
      <c r="B148" t="s">
        <v>641</v>
      </c>
    </row>
    <row r="149" spans="2:2">
      <c r="B149" t="s">
        <v>642</v>
      </c>
    </row>
    <row r="150" spans="2:2">
      <c r="B150" t="s">
        <v>643</v>
      </c>
    </row>
    <row r="151" spans="2:2">
      <c r="B151" t="s">
        <v>644</v>
      </c>
    </row>
    <row r="152" spans="2:2">
      <c r="B152" t="s">
        <v>645</v>
      </c>
    </row>
    <row r="153" spans="2:2">
      <c r="B153" t="s">
        <v>646</v>
      </c>
    </row>
    <row r="154" spans="2:2">
      <c r="B154" t="s">
        <v>881</v>
      </c>
    </row>
    <row r="155" spans="2:2">
      <c r="B155" t="s">
        <v>647</v>
      </c>
    </row>
    <row r="156" spans="2:2">
      <c r="B156" t="s">
        <v>694</v>
      </c>
    </row>
    <row r="157" spans="2:2">
      <c r="B157" t="s">
        <v>695</v>
      </c>
    </row>
    <row r="158" spans="2:2">
      <c r="B158" t="s">
        <v>688</v>
      </c>
    </row>
    <row r="159" spans="2:2">
      <c r="B159" t="s">
        <v>650</v>
      </c>
    </row>
    <row r="160" spans="2:2">
      <c r="B160" t="s">
        <v>691</v>
      </c>
    </row>
    <row r="161" spans="2:2">
      <c r="B161" t="s">
        <v>632</v>
      </c>
    </row>
    <row r="162" spans="2:2">
      <c r="B162" t="s">
        <v>633</v>
      </c>
    </row>
    <row r="163" spans="2:2">
      <c r="B163" t="s">
        <v>696</v>
      </c>
    </row>
    <row r="164" spans="2:2">
      <c r="B164" t="s">
        <v>672</v>
      </c>
    </row>
    <row r="165" spans="2:2">
      <c r="B165" t="s">
        <v>673</v>
      </c>
    </row>
    <row r="166" spans="2:2">
      <c r="B166" t="s">
        <v>674</v>
      </c>
    </row>
    <row r="167" spans="2:2">
      <c r="B167" t="s">
        <v>658</v>
      </c>
    </row>
    <row r="168" spans="2:2">
      <c r="B168" t="s">
        <v>675</v>
      </c>
    </row>
    <row r="169" spans="2:2">
      <c r="B169" t="s">
        <v>676</v>
      </c>
    </row>
    <row r="170" spans="2:2">
      <c r="B170" t="s">
        <v>641</v>
      </c>
    </row>
    <row r="171" spans="2:2">
      <c r="B171" t="s">
        <v>642</v>
      </c>
    </row>
    <row r="172" spans="2:2">
      <c r="B172" t="s">
        <v>643</v>
      </c>
    </row>
    <row r="173" spans="2:2">
      <c r="B173" t="s">
        <v>644</v>
      </c>
    </row>
    <row r="174" spans="2:2">
      <c r="B174" t="s">
        <v>645</v>
      </c>
    </row>
    <row r="175" spans="2:2">
      <c r="B175" t="s">
        <v>646</v>
      </c>
    </row>
    <row r="176" spans="2:2">
      <c r="B176" t="s">
        <v>881</v>
      </c>
    </row>
    <row r="177" spans="2:2">
      <c r="B177" t="s">
        <v>647</v>
      </c>
    </row>
    <row r="178" spans="2:2">
      <c r="B178" t="s">
        <v>697</v>
      </c>
    </row>
    <row r="179" spans="2:2">
      <c r="B179" t="s">
        <v>698</v>
      </c>
    </row>
    <row r="180" spans="2:2">
      <c r="B180" t="s">
        <v>688</v>
      </c>
    </row>
    <row r="181" spans="2:2">
      <c r="B181" t="s">
        <v>650</v>
      </c>
    </row>
    <row r="182" spans="2:2">
      <c r="B182" t="s">
        <v>691</v>
      </c>
    </row>
    <row r="183" spans="2:2">
      <c r="B183" t="s">
        <v>632</v>
      </c>
    </row>
    <row r="184" spans="2:2">
      <c r="B184" t="s">
        <v>633</v>
      </c>
    </row>
    <row r="185" spans="2:2">
      <c r="B185" t="s">
        <v>699</v>
      </c>
    </row>
    <row r="186" spans="2:2">
      <c r="B186" t="s">
        <v>677</v>
      </c>
    </row>
    <row r="187" spans="2:2">
      <c r="B187" t="s">
        <v>678</v>
      </c>
    </row>
    <row r="188" spans="2:2">
      <c r="B188" t="s">
        <v>637</v>
      </c>
    </row>
    <row r="189" spans="2:2">
      <c r="B189" t="s">
        <v>638</v>
      </c>
    </row>
    <row r="190" spans="2:2">
      <c r="B190" t="s">
        <v>639</v>
      </c>
    </row>
    <row r="191" spans="2:2">
      <c r="B191" t="s">
        <v>640</v>
      </c>
    </row>
    <row r="192" spans="2:2">
      <c r="B192" t="s">
        <v>641</v>
      </c>
    </row>
    <row r="193" spans="2:2">
      <c r="B193" t="s">
        <v>642</v>
      </c>
    </row>
    <row r="194" spans="2:2">
      <c r="B194" t="s">
        <v>643</v>
      </c>
    </row>
    <row r="195" spans="2:2">
      <c r="B195" t="s">
        <v>644</v>
      </c>
    </row>
    <row r="196" spans="2:2">
      <c r="B196" t="s">
        <v>645</v>
      </c>
    </row>
    <row r="197" spans="2:2">
      <c r="B197" t="s">
        <v>646</v>
      </c>
    </row>
    <row r="198" spans="2:2">
      <c r="B198" t="s">
        <v>881</v>
      </c>
    </row>
    <row r="199" spans="2:2">
      <c r="B199" t="s">
        <v>647</v>
      </c>
    </row>
    <row r="200" spans="2:2">
      <c r="B200" t="s">
        <v>700</v>
      </c>
    </row>
    <row r="201" spans="2:2">
      <c r="B201" t="s">
        <v>701</v>
      </c>
    </row>
    <row r="202" spans="2:2">
      <c r="B202" t="s">
        <v>688</v>
      </c>
    </row>
    <row r="203" spans="2:2">
      <c r="B203" t="s">
        <v>702</v>
      </c>
    </row>
    <row r="204" spans="2:2">
      <c r="B204" t="s">
        <v>631</v>
      </c>
    </row>
    <row r="205" spans="2:2">
      <c r="B205" t="s">
        <v>632</v>
      </c>
    </row>
    <row r="206" spans="2:2">
      <c r="B206" t="s">
        <v>633</v>
      </c>
    </row>
    <row r="207" spans="2:2">
      <c r="B207" t="s">
        <v>634</v>
      </c>
    </row>
    <row r="208" spans="2:2">
      <c r="B208" t="s">
        <v>679</v>
      </c>
    </row>
    <row r="209" spans="2:2">
      <c r="B209" t="s">
        <v>680</v>
      </c>
    </row>
    <row r="210" spans="2:2">
      <c r="B210" t="s">
        <v>637</v>
      </c>
    </row>
    <row r="211" spans="2:2">
      <c r="B211" t="s">
        <v>681</v>
      </c>
    </row>
    <row r="212" spans="2:2">
      <c r="B212" t="s">
        <v>703</v>
      </c>
    </row>
    <row r="213" spans="2:2">
      <c r="B213" t="s">
        <v>640</v>
      </c>
    </row>
    <row r="214" spans="2:2">
      <c r="B214" t="s">
        <v>641</v>
      </c>
    </row>
    <row r="215" spans="2:2">
      <c r="B215" t="s">
        <v>642</v>
      </c>
    </row>
    <row r="216" spans="2:2">
      <c r="B216" t="s">
        <v>643</v>
      </c>
    </row>
    <row r="217" spans="2:2">
      <c r="B217" t="s">
        <v>644</v>
      </c>
    </row>
    <row r="218" spans="2:2">
      <c r="B218" t="s">
        <v>645</v>
      </c>
    </row>
    <row r="219" spans="2:2">
      <c r="B219" t="s">
        <v>646</v>
      </c>
    </row>
    <row r="220" spans="2:2">
      <c r="B220" t="s">
        <v>881</v>
      </c>
    </row>
    <row r="221" spans="2:2">
      <c r="B221" t="s">
        <v>647</v>
      </c>
    </row>
    <row r="222" spans="2:2">
      <c r="B222" t="s">
        <v>704</v>
      </c>
    </row>
    <row r="223" spans="2:2">
      <c r="B223" t="s">
        <v>705</v>
      </c>
    </row>
    <row r="224" spans="2:2">
      <c r="B224" t="s">
        <v>706</v>
      </c>
    </row>
    <row r="225" spans="2:2">
      <c r="B225" t="s">
        <v>630</v>
      </c>
    </row>
    <row r="226" spans="2:2">
      <c r="B226" t="s">
        <v>631</v>
      </c>
    </row>
    <row r="227" spans="2:2">
      <c r="B227" t="s">
        <v>632</v>
      </c>
    </row>
    <row r="228" spans="2:2">
      <c r="B228" t="s">
        <v>633</v>
      </c>
    </row>
    <row r="229" spans="2:2">
      <c r="B229" t="s">
        <v>634</v>
      </c>
    </row>
    <row r="230" spans="2:2">
      <c r="B230" t="s">
        <v>635</v>
      </c>
    </row>
    <row r="231" spans="2:2">
      <c r="B231" t="s">
        <v>707</v>
      </c>
    </row>
    <row r="232" spans="2:2">
      <c r="B232" t="s">
        <v>637</v>
      </c>
    </row>
    <row r="233" spans="2:2">
      <c r="B233" t="s">
        <v>638</v>
      </c>
    </row>
    <row r="234" spans="2:2">
      <c r="B234" t="s">
        <v>639</v>
      </c>
    </row>
    <row r="235" spans="2:2">
      <c r="B235" t="s">
        <v>640</v>
      </c>
    </row>
    <row r="236" spans="2:2">
      <c r="B236" t="s">
        <v>641</v>
      </c>
    </row>
    <row r="237" spans="2:2">
      <c r="B237" t="s">
        <v>642</v>
      </c>
    </row>
    <row r="238" spans="2:2">
      <c r="B238" t="s">
        <v>643</v>
      </c>
    </row>
    <row r="239" spans="2:2">
      <c r="B239" t="s">
        <v>644</v>
      </c>
    </row>
    <row r="240" spans="2:2">
      <c r="B240" t="s">
        <v>645</v>
      </c>
    </row>
    <row r="241" spans="2:2">
      <c r="B241" t="s">
        <v>646</v>
      </c>
    </row>
    <row r="242" spans="2:2">
      <c r="B242" t="s">
        <v>881</v>
      </c>
    </row>
    <row r="243" spans="2:2">
      <c r="B243" t="s">
        <v>647</v>
      </c>
    </row>
    <row r="244" spans="2:2">
      <c r="B244" t="s">
        <v>708</v>
      </c>
    </row>
    <row r="245" spans="2:2">
      <c r="B245" t="s">
        <v>709</v>
      </c>
    </row>
    <row r="246" spans="2:2">
      <c r="B246" t="s">
        <v>706</v>
      </c>
    </row>
    <row r="247" spans="2:2">
      <c r="B247" t="s">
        <v>710</v>
      </c>
    </row>
    <row r="248" spans="2:2">
      <c r="B248" t="s">
        <v>691</v>
      </c>
    </row>
    <row r="249" spans="2:2">
      <c r="B249" t="s">
        <v>632</v>
      </c>
    </row>
    <row r="250" spans="2:2">
      <c r="B250" t="s">
        <v>633</v>
      </c>
    </row>
    <row r="251" spans="2:2">
      <c r="B251" t="s">
        <v>656</v>
      </c>
    </row>
    <row r="252" spans="2:2">
      <c r="B252" t="s">
        <v>662</v>
      </c>
    </row>
    <row r="253" spans="2:2">
      <c r="B253" t="s">
        <v>663</v>
      </c>
    </row>
    <row r="254" spans="2:2">
      <c r="B254" t="s">
        <v>664</v>
      </c>
    </row>
    <row r="255" spans="2:2">
      <c r="B255" t="s">
        <v>665</v>
      </c>
    </row>
    <row r="256" spans="2:2">
      <c r="B256" t="s">
        <v>666</v>
      </c>
    </row>
    <row r="257" spans="2:2">
      <c r="B257" t="s">
        <v>667</v>
      </c>
    </row>
    <row r="258" spans="2:2">
      <c r="B258" t="s">
        <v>668</v>
      </c>
    </row>
    <row r="259" spans="2:2">
      <c r="B259" t="s">
        <v>642</v>
      </c>
    </row>
    <row r="260" spans="2:2">
      <c r="B260" t="s">
        <v>643</v>
      </c>
    </row>
    <row r="261" spans="2:2">
      <c r="B261" t="s">
        <v>644</v>
      </c>
    </row>
    <row r="262" spans="2:2">
      <c r="B262" t="s">
        <v>645</v>
      </c>
    </row>
    <row r="263" spans="2:2">
      <c r="B263" t="s">
        <v>646</v>
      </c>
    </row>
    <row r="264" spans="2:2">
      <c r="B264" t="s">
        <v>881</v>
      </c>
    </row>
    <row r="265" spans="2:2">
      <c r="B265" t="s">
        <v>647</v>
      </c>
    </row>
    <row r="266" spans="2:2">
      <c r="B266" t="s">
        <v>711</v>
      </c>
    </row>
    <row r="267" spans="2:2">
      <c r="B267" t="s">
        <v>712</v>
      </c>
    </row>
    <row r="268" spans="2:2">
      <c r="B268" t="s">
        <v>706</v>
      </c>
    </row>
    <row r="269" spans="2:2">
      <c r="B269" t="s">
        <v>710</v>
      </c>
    </row>
    <row r="270" spans="2:2">
      <c r="B270" t="s">
        <v>691</v>
      </c>
    </row>
    <row r="271" spans="2:2">
      <c r="B271" t="s">
        <v>632</v>
      </c>
    </row>
    <row r="272" spans="2:2">
      <c r="B272" t="s">
        <v>633</v>
      </c>
    </row>
    <row r="273" spans="2:2">
      <c r="B273" t="s">
        <v>669</v>
      </c>
    </row>
    <row r="274" spans="2:2">
      <c r="B274" t="s">
        <v>670</v>
      </c>
    </row>
    <row r="275" spans="2:2">
      <c r="B275" t="s">
        <v>671</v>
      </c>
    </row>
    <row r="276" spans="2:2">
      <c r="B276" t="s">
        <v>657</v>
      </c>
    </row>
    <row r="277" spans="2:2">
      <c r="B277" t="s">
        <v>654</v>
      </c>
    </row>
    <row r="278" spans="2:2">
      <c r="B278" t="s">
        <v>639</v>
      </c>
    </row>
    <row r="279" spans="2:2">
      <c r="B279" t="s">
        <v>640</v>
      </c>
    </row>
    <row r="280" spans="2:2">
      <c r="B280" t="s">
        <v>641</v>
      </c>
    </row>
    <row r="281" spans="2:2">
      <c r="B281" t="s">
        <v>642</v>
      </c>
    </row>
    <row r="282" spans="2:2">
      <c r="B282" t="s">
        <v>643</v>
      </c>
    </row>
    <row r="283" spans="2:2">
      <c r="B283" t="s">
        <v>644</v>
      </c>
    </row>
    <row r="284" spans="2:2">
      <c r="B284" t="s">
        <v>645</v>
      </c>
    </row>
    <row r="285" spans="2:2">
      <c r="B285" t="s">
        <v>646</v>
      </c>
    </row>
    <row r="286" spans="2:2">
      <c r="B286" t="s">
        <v>881</v>
      </c>
    </row>
    <row r="287" spans="2:2">
      <c r="B287" t="s">
        <v>647</v>
      </c>
    </row>
    <row r="288" spans="2:2">
      <c r="B288" t="s">
        <v>713</v>
      </c>
    </row>
    <row r="289" spans="2:2">
      <c r="B289" t="s">
        <v>714</v>
      </c>
    </row>
    <row r="290" spans="2:2">
      <c r="B290" t="s">
        <v>706</v>
      </c>
    </row>
    <row r="291" spans="2:2">
      <c r="B291" t="s">
        <v>710</v>
      </c>
    </row>
    <row r="292" spans="2:2">
      <c r="B292" t="s">
        <v>691</v>
      </c>
    </row>
    <row r="293" spans="2:2">
      <c r="B293" t="s">
        <v>632</v>
      </c>
    </row>
    <row r="294" spans="2:2">
      <c r="B294" t="s">
        <v>633</v>
      </c>
    </row>
    <row r="295" spans="2:2">
      <c r="B295" t="s">
        <v>696</v>
      </c>
    </row>
    <row r="296" spans="2:2">
      <c r="B296" t="s">
        <v>715</v>
      </c>
    </row>
    <row r="297" spans="2:2">
      <c r="B297" t="s">
        <v>716</v>
      </c>
    </row>
    <row r="298" spans="2:2">
      <c r="B298" t="s">
        <v>717</v>
      </c>
    </row>
    <row r="299" spans="2:2">
      <c r="B299" t="s">
        <v>658</v>
      </c>
    </row>
    <row r="300" spans="2:2">
      <c r="B300" t="s">
        <v>718</v>
      </c>
    </row>
    <row r="301" spans="2:2">
      <c r="B301" t="s">
        <v>719</v>
      </c>
    </row>
    <row r="302" spans="2:2">
      <c r="B302" t="s">
        <v>641</v>
      </c>
    </row>
    <row r="303" spans="2:2">
      <c r="B303" t="s">
        <v>642</v>
      </c>
    </row>
    <row r="304" spans="2:2">
      <c r="B304" t="s">
        <v>643</v>
      </c>
    </row>
    <row r="305" spans="2:2">
      <c r="B305" t="s">
        <v>644</v>
      </c>
    </row>
    <row r="306" spans="2:2">
      <c r="B306" t="s">
        <v>645</v>
      </c>
    </row>
    <row r="307" spans="2:2">
      <c r="B307" t="s">
        <v>646</v>
      </c>
    </row>
    <row r="308" spans="2:2">
      <c r="B308" t="s">
        <v>881</v>
      </c>
    </row>
    <row r="309" spans="2:2">
      <c r="B309" t="s">
        <v>647</v>
      </c>
    </row>
    <row r="310" spans="2:2">
      <c r="B310" t="s">
        <v>720</v>
      </c>
    </row>
    <row r="311" spans="2:2">
      <c r="B311" t="s">
        <v>721</v>
      </c>
    </row>
    <row r="312" spans="2:2">
      <c r="B312" t="s">
        <v>706</v>
      </c>
    </row>
    <row r="313" spans="2:2">
      <c r="B313" t="s">
        <v>710</v>
      </c>
    </row>
    <row r="314" spans="2:2">
      <c r="B314" t="s">
        <v>691</v>
      </c>
    </row>
    <row r="315" spans="2:2">
      <c r="B315" t="s">
        <v>632</v>
      </c>
    </row>
    <row r="316" spans="2:2">
      <c r="B316" t="s">
        <v>633</v>
      </c>
    </row>
    <row r="317" spans="2:2">
      <c r="B317" t="s">
        <v>696</v>
      </c>
    </row>
    <row r="318" spans="2:2">
      <c r="B318" t="s">
        <v>672</v>
      </c>
    </row>
    <row r="319" spans="2:2">
      <c r="B319" t="s">
        <v>716</v>
      </c>
    </row>
    <row r="320" spans="2:2">
      <c r="B320" t="s">
        <v>722</v>
      </c>
    </row>
    <row r="321" spans="2:2">
      <c r="B321" t="s">
        <v>658</v>
      </c>
    </row>
    <row r="322" spans="2:2">
      <c r="B322" t="s">
        <v>675</v>
      </c>
    </row>
    <row r="323" spans="2:2">
      <c r="B323" t="s">
        <v>723</v>
      </c>
    </row>
    <row r="324" spans="2:2">
      <c r="B324" t="s">
        <v>641</v>
      </c>
    </row>
    <row r="325" spans="2:2">
      <c r="B325" t="s">
        <v>642</v>
      </c>
    </row>
    <row r="326" spans="2:2">
      <c r="B326" t="s">
        <v>643</v>
      </c>
    </row>
    <row r="327" spans="2:2">
      <c r="B327" t="s">
        <v>644</v>
      </c>
    </row>
    <row r="328" spans="2:2">
      <c r="B328" t="s">
        <v>645</v>
      </c>
    </row>
    <row r="329" spans="2:2">
      <c r="B329" t="s">
        <v>646</v>
      </c>
    </row>
    <row r="330" spans="2:2">
      <c r="B330" t="s">
        <v>881</v>
      </c>
    </row>
    <row r="331" spans="2:2">
      <c r="B331" t="s">
        <v>647</v>
      </c>
    </row>
    <row r="332" spans="2:2">
      <c r="B332" t="s">
        <v>724</v>
      </c>
    </row>
    <row r="333" spans="2:2">
      <c r="B333" t="s">
        <v>725</v>
      </c>
    </row>
    <row r="334" spans="2:2">
      <c r="B334" t="s">
        <v>706</v>
      </c>
    </row>
    <row r="335" spans="2:2">
      <c r="B335" t="s">
        <v>726</v>
      </c>
    </row>
    <row r="336" spans="2:2">
      <c r="B336" t="s">
        <v>631</v>
      </c>
    </row>
    <row r="337" spans="2:2">
      <c r="B337" t="s">
        <v>632</v>
      </c>
    </row>
    <row r="338" spans="2:2">
      <c r="B338" t="s">
        <v>633</v>
      </c>
    </row>
    <row r="339" spans="2:2">
      <c r="B339" t="s">
        <v>634</v>
      </c>
    </row>
    <row r="340" spans="2:2">
      <c r="B340" t="s">
        <v>679</v>
      </c>
    </row>
    <row r="341" spans="2:2">
      <c r="B341" t="s">
        <v>680</v>
      </c>
    </row>
    <row r="342" spans="2:2">
      <c r="B342" t="s">
        <v>637</v>
      </c>
    </row>
    <row r="343" spans="2:2">
      <c r="B343" t="s">
        <v>681</v>
      </c>
    </row>
    <row r="344" spans="2:2">
      <c r="B344" t="s">
        <v>727</v>
      </c>
    </row>
    <row r="345" spans="2:2">
      <c r="B345" t="s">
        <v>640</v>
      </c>
    </row>
    <row r="346" spans="2:2">
      <c r="B346" t="s">
        <v>641</v>
      </c>
    </row>
    <row r="347" spans="2:2">
      <c r="B347" t="s">
        <v>642</v>
      </c>
    </row>
    <row r="348" spans="2:2">
      <c r="B348" t="s">
        <v>643</v>
      </c>
    </row>
    <row r="349" spans="2:2">
      <c r="B349" t="s">
        <v>644</v>
      </c>
    </row>
    <row r="350" spans="2:2">
      <c r="B350" t="s">
        <v>645</v>
      </c>
    </row>
    <row r="351" spans="2:2">
      <c r="B351" t="s">
        <v>646</v>
      </c>
    </row>
    <row r="352" spans="2:2">
      <c r="B352" t="s">
        <v>881</v>
      </c>
    </row>
    <row r="353" spans="2:2">
      <c r="B353" t="s">
        <v>647</v>
      </c>
    </row>
    <row r="354" spans="2:2">
      <c r="B354" t="s">
        <v>728</v>
      </c>
    </row>
    <row r="355" spans="2:2">
      <c r="B355" t="s">
        <v>729</v>
      </c>
    </row>
    <row r="356" spans="2:2">
      <c r="B356" t="s">
        <v>730</v>
      </c>
    </row>
    <row r="357" spans="2:2">
      <c r="B357" t="s">
        <v>630</v>
      </c>
    </row>
    <row r="358" spans="2:2">
      <c r="B358" t="s">
        <v>631</v>
      </c>
    </row>
    <row r="359" spans="2:2">
      <c r="B359" t="s">
        <v>632</v>
      </c>
    </row>
    <row r="360" spans="2:2">
      <c r="B360" t="s">
        <v>633</v>
      </c>
    </row>
    <row r="361" spans="2:2">
      <c r="B361" t="s">
        <v>634</v>
      </c>
    </row>
    <row r="362" spans="2:2">
      <c r="B362" t="s">
        <v>635</v>
      </c>
    </row>
    <row r="363" spans="2:2">
      <c r="B363" t="s">
        <v>678</v>
      </c>
    </row>
    <row r="364" spans="2:2">
      <c r="B364" t="s">
        <v>637</v>
      </c>
    </row>
    <row r="365" spans="2:2">
      <c r="B365" t="s">
        <v>638</v>
      </c>
    </row>
    <row r="366" spans="2:2">
      <c r="B366" t="s">
        <v>639</v>
      </c>
    </row>
    <row r="367" spans="2:2">
      <c r="B367" t="s">
        <v>640</v>
      </c>
    </row>
    <row r="368" spans="2:2">
      <c r="B368" t="s">
        <v>641</v>
      </c>
    </row>
    <row r="369" spans="2:2">
      <c r="B369" t="s">
        <v>642</v>
      </c>
    </row>
    <row r="370" spans="2:2">
      <c r="B370" t="s">
        <v>643</v>
      </c>
    </row>
    <row r="371" spans="2:2">
      <c r="B371" t="s">
        <v>644</v>
      </c>
    </row>
    <row r="372" spans="2:2">
      <c r="B372" t="s">
        <v>645</v>
      </c>
    </row>
    <row r="373" spans="2:2">
      <c r="B373" t="s">
        <v>646</v>
      </c>
    </row>
    <row r="374" spans="2:2">
      <c r="B374" t="s">
        <v>881</v>
      </c>
    </row>
    <row r="375" spans="2:2">
      <c r="B375" t="s">
        <v>647</v>
      </c>
    </row>
    <row r="376" spans="2:2">
      <c r="B376" t="s">
        <v>731</v>
      </c>
    </row>
    <row r="377" spans="2:2">
      <c r="B377" t="s">
        <v>732</v>
      </c>
    </row>
    <row r="378" spans="2:2">
      <c r="B378" t="s">
        <v>730</v>
      </c>
    </row>
    <row r="379" spans="2:2">
      <c r="B379" t="s">
        <v>710</v>
      </c>
    </row>
    <row r="380" spans="2:2">
      <c r="B380" t="s">
        <v>691</v>
      </c>
    </row>
    <row r="381" spans="2:2">
      <c r="B381" t="s">
        <v>632</v>
      </c>
    </row>
    <row r="382" spans="2:2">
      <c r="B382" t="s">
        <v>633</v>
      </c>
    </row>
    <row r="383" spans="2:2">
      <c r="B383" t="s">
        <v>656</v>
      </c>
    </row>
    <row r="384" spans="2:2">
      <c r="B384" t="s">
        <v>662</v>
      </c>
    </row>
    <row r="385" spans="2:2">
      <c r="B385" t="s">
        <v>663</v>
      </c>
    </row>
    <row r="386" spans="2:2">
      <c r="B386" t="s">
        <v>664</v>
      </c>
    </row>
    <row r="387" spans="2:2">
      <c r="B387" t="s">
        <v>665</v>
      </c>
    </row>
    <row r="388" spans="2:2">
      <c r="B388" t="s">
        <v>666</v>
      </c>
    </row>
    <row r="389" spans="2:2">
      <c r="B389" t="s">
        <v>667</v>
      </c>
    </row>
    <row r="390" spans="2:2">
      <c r="B390" t="s">
        <v>668</v>
      </c>
    </row>
    <row r="391" spans="2:2">
      <c r="B391" t="s">
        <v>642</v>
      </c>
    </row>
    <row r="392" spans="2:2">
      <c r="B392" t="s">
        <v>643</v>
      </c>
    </row>
    <row r="393" spans="2:2">
      <c r="B393" t="s">
        <v>644</v>
      </c>
    </row>
    <row r="394" spans="2:2">
      <c r="B394" t="s">
        <v>645</v>
      </c>
    </row>
    <row r="395" spans="2:2">
      <c r="B395" t="s">
        <v>646</v>
      </c>
    </row>
    <row r="396" spans="2:2">
      <c r="B396" t="s">
        <v>881</v>
      </c>
    </row>
    <row r="397" spans="2:2">
      <c r="B397" t="s">
        <v>647</v>
      </c>
    </row>
    <row r="398" spans="2:2">
      <c r="B398" t="s">
        <v>733</v>
      </c>
    </row>
    <row r="399" spans="2:2">
      <c r="B399" t="s">
        <v>734</v>
      </c>
    </row>
    <row r="400" spans="2:2">
      <c r="B400" t="s">
        <v>730</v>
      </c>
    </row>
    <row r="401" spans="2:2">
      <c r="B401" t="s">
        <v>710</v>
      </c>
    </row>
    <row r="402" spans="2:2">
      <c r="B402" t="s">
        <v>691</v>
      </c>
    </row>
    <row r="403" spans="2:2">
      <c r="B403" t="s">
        <v>632</v>
      </c>
    </row>
    <row r="404" spans="2:2">
      <c r="B404" t="s">
        <v>633</v>
      </c>
    </row>
    <row r="405" spans="2:2">
      <c r="B405" t="s">
        <v>669</v>
      </c>
    </row>
    <row r="406" spans="2:2">
      <c r="B406" t="s">
        <v>670</v>
      </c>
    </row>
    <row r="407" spans="2:2">
      <c r="B407" t="s">
        <v>671</v>
      </c>
    </row>
    <row r="408" spans="2:2">
      <c r="B408" t="s">
        <v>657</v>
      </c>
    </row>
    <row r="409" spans="2:2">
      <c r="B409" t="s">
        <v>654</v>
      </c>
    </row>
    <row r="410" spans="2:2">
      <c r="B410" t="s">
        <v>639</v>
      </c>
    </row>
    <row r="411" spans="2:2">
      <c r="B411" t="s">
        <v>640</v>
      </c>
    </row>
    <row r="412" spans="2:2">
      <c r="B412" t="s">
        <v>641</v>
      </c>
    </row>
    <row r="413" spans="2:2">
      <c r="B413" t="s">
        <v>642</v>
      </c>
    </row>
    <row r="414" spans="2:2">
      <c r="B414" t="s">
        <v>643</v>
      </c>
    </row>
    <row r="415" spans="2:2">
      <c r="B415" t="s">
        <v>644</v>
      </c>
    </row>
    <row r="416" spans="2:2">
      <c r="B416" t="s">
        <v>645</v>
      </c>
    </row>
    <row r="417" spans="2:2">
      <c r="B417" t="s">
        <v>646</v>
      </c>
    </row>
    <row r="418" spans="2:2">
      <c r="B418" t="s">
        <v>881</v>
      </c>
    </row>
    <row r="419" spans="2:2">
      <c r="B419" t="s">
        <v>647</v>
      </c>
    </row>
    <row r="420" spans="2:2">
      <c r="B420" t="s">
        <v>735</v>
      </c>
    </row>
    <row r="421" spans="2:2">
      <c r="B421" t="s">
        <v>736</v>
      </c>
    </row>
    <row r="422" spans="2:2">
      <c r="B422" t="s">
        <v>730</v>
      </c>
    </row>
    <row r="423" spans="2:2">
      <c r="B423" t="s">
        <v>710</v>
      </c>
    </row>
    <row r="424" spans="2:2">
      <c r="B424" t="s">
        <v>691</v>
      </c>
    </row>
    <row r="425" spans="2:2">
      <c r="B425" t="s">
        <v>632</v>
      </c>
    </row>
    <row r="426" spans="2:2">
      <c r="B426" t="s">
        <v>633</v>
      </c>
    </row>
    <row r="427" spans="2:2">
      <c r="B427" t="s">
        <v>696</v>
      </c>
    </row>
    <row r="428" spans="2:2">
      <c r="B428" t="s">
        <v>672</v>
      </c>
    </row>
    <row r="429" spans="2:2">
      <c r="B429" t="s">
        <v>737</v>
      </c>
    </row>
    <row r="430" spans="2:2">
      <c r="B430" t="s">
        <v>674</v>
      </c>
    </row>
    <row r="431" spans="2:2">
      <c r="B431" t="s">
        <v>658</v>
      </c>
    </row>
    <row r="432" spans="2:2">
      <c r="B432" t="s">
        <v>675</v>
      </c>
    </row>
    <row r="433" spans="2:2">
      <c r="B433" t="s">
        <v>676</v>
      </c>
    </row>
    <row r="434" spans="2:2">
      <c r="B434" t="s">
        <v>641</v>
      </c>
    </row>
    <row r="435" spans="2:2">
      <c r="B435" t="s">
        <v>642</v>
      </c>
    </row>
    <row r="436" spans="2:2">
      <c r="B436" t="s">
        <v>643</v>
      </c>
    </row>
    <row r="437" spans="2:2">
      <c r="B437" t="s">
        <v>644</v>
      </c>
    </row>
    <row r="438" spans="2:2">
      <c r="B438" t="s">
        <v>645</v>
      </c>
    </row>
    <row r="439" spans="2:2">
      <c r="B439" t="s">
        <v>646</v>
      </c>
    </row>
    <row r="440" spans="2:2">
      <c r="B440" t="s">
        <v>881</v>
      </c>
    </row>
    <row r="441" spans="2:2">
      <c r="B441" t="s">
        <v>647</v>
      </c>
    </row>
    <row r="442" spans="2:2">
      <c r="B442" t="s">
        <v>738</v>
      </c>
    </row>
    <row r="443" spans="2:2">
      <c r="B443" t="s">
        <v>739</v>
      </c>
    </row>
    <row r="444" spans="2:2">
      <c r="B444" t="s">
        <v>730</v>
      </c>
    </row>
    <row r="445" spans="2:2">
      <c r="B445" t="s">
        <v>710</v>
      </c>
    </row>
    <row r="446" spans="2:2">
      <c r="B446" t="s">
        <v>691</v>
      </c>
    </row>
    <row r="447" spans="2:2">
      <c r="B447" t="s">
        <v>632</v>
      </c>
    </row>
    <row r="448" spans="2:2">
      <c r="B448" t="s">
        <v>633</v>
      </c>
    </row>
    <row r="449" spans="2:2">
      <c r="B449" t="s">
        <v>699</v>
      </c>
    </row>
    <row r="450" spans="2:2">
      <c r="B450" t="s">
        <v>677</v>
      </c>
    </row>
    <row r="451" spans="2:2">
      <c r="B451" t="s">
        <v>716</v>
      </c>
    </row>
    <row r="452" spans="2:2">
      <c r="B452" t="s">
        <v>637</v>
      </c>
    </row>
    <row r="453" spans="2:2">
      <c r="B453" t="s">
        <v>638</v>
      </c>
    </row>
    <row r="454" spans="2:2">
      <c r="B454" t="s">
        <v>639</v>
      </c>
    </row>
    <row r="455" spans="2:2">
      <c r="B455" t="s">
        <v>640</v>
      </c>
    </row>
    <row r="456" spans="2:2">
      <c r="B456" t="s">
        <v>641</v>
      </c>
    </row>
    <row r="457" spans="2:2">
      <c r="B457" t="s">
        <v>642</v>
      </c>
    </row>
    <row r="458" spans="2:2">
      <c r="B458" t="s">
        <v>643</v>
      </c>
    </row>
    <row r="459" spans="2:2">
      <c r="B459" t="s">
        <v>644</v>
      </c>
    </row>
    <row r="460" spans="2:2">
      <c r="B460" t="s">
        <v>645</v>
      </c>
    </row>
    <row r="461" spans="2:2">
      <c r="B461" t="s">
        <v>646</v>
      </c>
    </row>
    <row r="462" spans="2:2">
      <c r="B462" t="s">
        <v>881</v>
      </c>
    </row>
    <row r="463" spans="2:2">
      <c r="B463" t="s">
        <v>647</v>
      </c>
    </row>
    <row r="464" spans="2:2">
      <c r="B464" t="s">
        <v>740</v>
      </c>
    </row>
    <row r="465" spans="2:2">
      <c r="B465" t="s">
        <v>741</v>
      </c>
    </row>
    <row r="466" spans="2:2">
      <c r="B466" t="s">
        <v>730</v>
      </c>
    </row>
    <row r="467" spans="2:2">
      <c r="B467" t="s">
        <v>742</v>
      </c>
    </row>
    <row r="468" spans="2:2">
      <c r="B468" t="s">
        <v>631</v>
      </c>
    </row>
    <row r="469" spans="2:2">
      <c r="B469" t="s">
        <v>632</v>
      </c>
    </row>
    <row r="470" spans="2:2">
      <c r="B470" t="s">
        <v>633</v>
      </c>
    </row>
    <row r="471" spans="2:2">
      <c r="B471" t="s">
        <v>634</v>
      </c>
    </row>
    <row r="472" spans="2:2">
      <c r="B472" t="s">
        <v>635</v>
      </c>
    </row>
    <row r="473" spans="2:2">
      <c r="B473" t="s">
        <v>678</v>
      </c>
    </row>
    <row r="474" spans="2:2">
      <c r="B474" t="s">
        <v>637</v>
      </c>
    </row>
    <row r="475" spans="2:2">
      <c r="B475" t="s">
        <v>638</v>
      </c>
    </row>
    <row r="476" spans="2:2">
      <c r="B476" t="s">
        <v>639</v>
      </c>
    </row>
    <row r="477" spans="2:2">
      <c r="B477" t="s">
        <v>640</v>
      </c>
    </row>
    <row r="478" spans="2:2">
      <c r="B478" t="s">
        <v>641</v>
      </c>
    </row>
    <row r="479" spans="2:2">
      <c r="B479" t="s">
        <v>642</v>
      </c>
    </row>
    <row r="480" spans="2:2">
      <c r="B480" t="s">
        <v>643</v>
      </c>
    </row>
    <row r="481" spans="2:2">
      <c r="B481" t="s">
        <v>644</v>
      </c>
    </row>
    <row r="482" spans="2:2">
      <c r="B482" t="s">
        <v>645</v>
      </c>
    </row>
    <row r="483" spans="2:2">
      <c r="B483" t="s">
        <v>646</v>
      </c>
    </row>
    <row r="484" spans="2:2">
      <c r="B484" t="s">
        <v>881</v>
      </c>
    </row>
    <row r="485" spans="2:2">
      <c r="B485" t="s">
        <v>647</v>
      </c>
    </row>
    <row r="486" spans="2:2">
      <c r="B486" t="s">
        <v>743</v>
      </c>
    </row>
    <row r="487" spans="2:2">
      <c r="B487" t="s">
        <v>744</v>
      </c>
    </row>
    <row r="488" spans="2:2">
      <c r="B488" t="s">
        <v>730</v>
      </c>
    </row>
    <row r="489" spans="2:2">
      <c r="B489" t="s">
        <v>745</v>
      </c>
    </row>
    <row r="490" spans="2:2">
      <c r="B490" t="s">
        <v>746</v>
      </c>
    </row>
    <row r="491" spans="2:2">
      <c r="B491" t="s">
        <v>632</v>
      </c>
    </row>
    <row r="492" spans="2:2">
      <c r="B492" t="s">
        <v>633</v>
      </c>
    </row>
    <row r="493" spans="2:2">
      <c r="B493" t="s">
        <v>656</v>
      </c>
    </row>
    <row r="494" spans="2:2">
      <c r="B494" t="s">
        <v>662</v>
      </c>
    </row>
    <row r="495" spans="2:2">
      <c r="B495" t="s">
        <v>663</v>
      </c>
    </row>
    <row r="496" spans="2:2">
      <c r="B496" t="s">
        <v>664</v>
      </c>
    </row>
    <row r="497" spans="2:2">
      <c r="B497" t="s">
        <v>665</v>
      </c>
    </row>
    <row r="498" spans="2:2">
      <c r="B498" t="s">
        <v>666</v>
      </c>
    </row>
    <row r="499" spans="2:2">
      <c r="B499" t="s">
        <v>667</v>
      </c>
    </row>
    <row r="500" spans="2:2">
      <c r="B500" t="s">
        <v>668</v>
      </c>
    </row>
    <row r="501" spans="2:2">
      <c r="B501" t="s">
        <v>642</v>
      </c>
    </row>
    <row r="502" spans="2:2">
      <c r="B502" t="s">
        <v>643</v>
      </c>
    </row>
    <row r="503" spans="2:2">
      <c r="B503" t="s">
        <v>644</v>
      </c>
    </row>
    <row r="504" spans="2:2">
      <c r="B504" t="s">
        <v>645</v>
      </c>
    </row>
    <row r="505" spans="2:2">
      <c r="B505" t="s">
        <v>646</v>
      </c>
    </row>
    <row r="506" spans="2:2">
      <c r="B506" t="s">
        <v>881</v>
      </c>
    </row>
    <row r="507" spans="2:2">
      <c r="B507" t="s">
        <v>647</v>
      </c>
    </row>
    <row r="508" spans="2:2">
      <c r="B508" t="s">
        <v>747</v>
      </c>
    </row>
    <row r="509" spans="2:2">
      <c r="B509" t="s">
        <v>748</v>
      </c>
    </row>
    <row r="510" spans="2:2">
      <c r="B510" t="s">
        <v>730</v>
      </c>
    </row>
    <row r="511" spans="2:2">
      <c r="B511" t="s">
        <v>745</v>
      </c>
    </row>
    <row r="512" spans="2:2">
      <c r="B512" t="s">
        <v>746</v>
      </c>
    </row>
    <row r="513" spans="2:2">
      <c r="B513" t="s">
        <v>632</v>
      </c>
    </row>
    <row r="514" spans="2:2">
      <c r="B514" t="s">
        <v>633</v>
      </c>
    </row>
    <row r="515" spans="2:2">
      <c r="B515" t="s">
        <v>669</v>
      </c>
    </row>
    <row r="516" spans="2:2">
      <c r="B516" t="s">
        <v>670</v>
      </c>
    </row>
    <row r="517" spans="2:2">
      <c r="B517" t="s">
        <v>671</v>
      </c>
    </row>
    <row r="518" spans="2:2">
      <c r="B518" t="s">
        <v>657</v>
      </c>
    </row>
    <row r="519" spans="2:2">
      <c r="B519" t="s">
        <v>654</v>
      </c>
    </row>
    <row r="520" spans="2:2">
      <c r="B520" t="s">
        <v>639</v>
      </c>
    </row>
    <row r="521" spans="2:2">
      <c r="B521" t="s">
        <v>640</v>
      </c>
    </row>
    <row r="522" spans="2:2">
      <c r="B522" t="s">
        <v>641</v>
      </c>
    </row>
    <row r="523" spans="2:2">
      <c r="B523" t="s">
        <v>642</v>
      </c>
    </row>
    <row r="524" spans="2:2">
      <c r="B524" t="s">
        <v>643</v>
      </c>
    </row>
    <row r="525" spans="2:2">
      <c r="B525" t="s">
        <v>644</v>
      </c>
    </row>
    <row r="526" spans="2:2">
      <c r="B526" t="s">
        <v>645</v>
      </c>
    </row>
    <row r="527" spans="2:2">
      <c r="B527" t="s">
        <v>646</v>
      </c>
    </row>
    <row r="528" spans="2:2">
      <c r="B528" t="s">
        <v>881</v>
      </c>
    </row>
    <row r="529" spans="2:2">
      <c r="B529" t="s">
        <v>647</v>
      </c>
    </row>
    <row r="530" spans="2:2">
      <c r="B530" t="s">
        <v>749</v>
      </c>
    </row>
    <row r="531" spans="2:2">
      <c r="B531" t="s">
        <v>750</v>
      </c>
    </row>
    <row r="532" spans="2:2">
      <c r="B532" t="s">
        <v>730</v>
      </c>
    </row>
    <row r="533" spans="2:2">
      <c r="B533" t="s">
        <v>745</v>
      </c>
    </row>
    <row r="534" spans="2:2">
      <c r="B534" t="s">
        <v>746</v>
      </c>
    </row>
    <row r="535" spans="2:2">
      <c r="B535" t="s">
        <v>632</v>
      </c>
    </row>
    <row r="536" spans="2:2">
      <c r="B536" t="s">
        <v>633</v>
      </c>
    </row>
    <row r="537" spans="2:2">
      <c r="B537" t="s">
        <v>696</v>
      </c>
    </row>
    <row r="538" spans="2:2">
      <c r="B538" t="s">
        <v>672</v>
      </c>
    </row>
    <row r="539" spans="2:2">
      <c r="B539" t="s">
        <v>737</v>
      </c>
    </row>
    <row r="540" spans="2:2">
      <c r="B540" t="s">
        <v>674</v>
      </c>
    </row>
    <row r="541" spans="2:2">
      <c r="B541" t="s">
        <v>658</v>
      </c>
    </row>
    <row r="542" spans="2:2">
      <c r="B542" t="s">
        <v>675</v>
      </c>
    </row>
    <row r="543" spans="2:2">
      <c r="B543" t="s">
        <v>676</v>
      </c>
    </row>
    <row r="544" spans="2:2">
      <c r="B544" t="s">
        <v>641</v>
      </c>
    </row>
    <row r="545" spans="2:2">
      <c r="B545" t="s">
        <v>642</v>
      </c>
    </row>
    <row r="546" spans="2:2">
      <c r="B546" t="s">
        <v>643</v>
      </c>
    </row>
    <row r="547" spans="2:2">
      <c r="B547" t="s">
        <v>644</v>
      </c>
    </row>
    <row r="548" spans="2:2">
      <c r="B548" t="s">
        <v>645</v>
      </c>
    </row>
    <row r="549" spans="2:2">
      <c r="B549" t="s">
        <v>646</v>
      </c>
    </row>
    <row r="550" spans="2:2">
      <c r="B550" t="s">
        <v>881</v>
      </c>
    </row>
    <row r="551" spans="2:2">
      <c r="B551" t="s">
        <v>647</v>
      </c>
    </row>
    <row r="552" spans="2:2">
      <c r="B552" t="s">
        <v>751</v>
      </c>
    </row>
    <row r="553" spans="2:2">
      <c r="B553" t="s">
        <v>752</v>
      </c>
    </row>
    <row r="554" spans="2:2">
      <c r="B554" t="s">
        <v>730</v>
      </c>
    </row>
    <row r="555" spans="2:2">
      <c r="B555" t="s">
        <v>745</v>
      </c>
    </row>
    <row r="556" spans="2:2">
      <c r="B556" t="s">
        <v>746</v>
      </c>
    </row>
    <row r="557" spans="2:2">
      <c r="B557" t="s">
        <v>632</v>
      </c>
    </row>
    <row r="558" spans="2:2">
      <c r="B558" t="s">
        <v>633</v>
      </c>
    </row>
    <row r="559" spans="2:2">
      <c r="B559" t="s">
        <v>699</v>
      </c>
    </row>
    <row r="560" spans="2:2">
      <c r="B560" t="s">
        <v>677</v>
      </c>
    </row>
    <row r="561" spans="2:2">
      <c r="B561" t="s">
        <v>716</v>
      </c>
    </row>
    <row r="562" spans="2:2">
      <c r="B562" t="s">
        <v>637</v>
      </c>
    </row>
    <row r="563" spans="2:2">
      <c r="B563" t="s">
        <v>638</v>
      </c>
    </row>
    <row r="564" spans="2:2">
      <c r="B564" t="s">
        <v>639</v>
      </c>
    </row>
    <row r="565" spans="2:2">
      <c r="B565" t="s">
        <v>640</v>
      </c>
    </row>
    <row r="566" spans="2:2">
      <c r="B566" t="s">
        <v>641</v>
      </c>
    </row>
    <row r="567" spans="2:2">
      <c r="B567" t="s">
        <v>642</v>
      </c>
    </row>
    <row r="568" spans="2:2">
      <c r="B568" t="s">
        <v>643</v>
      </c>
    </row>
    <row r="569" spans="2:2">
      <c r="B569" t="s">
        <v>644</v>
      </c>
    </row>
    <row r="570" spans="2:2">
      <c r="B570" t="s">
        <v>645</v>
      </c>
    </row>
    <row r="571" spans="2:2">
      <c r="B571" t="s">
        <v>646</v>
      </c>
    </row>
    <row r="572" spans="2:2">
      <c r="B572" t="s">
        <v>881</v>
      </c>
    </row>
    <row r="573" spans="2:2">
      <c r="B573" t="s">
        <v>647</v>
      </c>
    </row>
    <row r="574" spans="2:2">
      <c r="B574" t="s">
        <v>753</v>
      </c>
    </row>
    <row r="575" spans="2:2">
      <c r="B575" t="s">
        <v>754</v>
      </c>
    </row>
    <row r="576" spans="2:2">
      <c r="B576" t="s">
        <v>730</v>
      </c>
    </row>
    <row r="577" spans="2:2">
      <c r="B577" t="s">
        <v>755</v>
      </c>
    </row>
    <row r="578" spans="2:2">
      <c r="B578" t="s">
        <v>691</v>
      </c>
    </row>
    <row r="579" spans="2:2">
      <c r="B579" t="s">
        <v>632</v>
      </c>
    </row>
    <row r="580" spans="2:2">
      <c r="B580" t="s">
        <v>633</v>
      </c>
    </row>
    <row r="581" spans="2:2">
      <c r="B581" t="s">
        <v>634</v>
      </c>
    </row>
    <row r="582" spans="2:2">
      <c r="B582" t="s">
        <v>679</v>
      </c>
    </row>
    <row r="583" spans="2:2">
      <c r="B583" t="s">
        <v>680</v>
      </c>
    </row>
    <row r="584" spans="2:2">
      <c r="B584" t="s">
        <v>637</v>
      </c>
    </row>
    <row r="585" spans="2:2">
      <c r="B585" t="s">
        <v>681</v>
      </c>
    </row>
    <row r="586" spans="2:2">
      <c r="B586" t="s">
        <v>756</v>
      </c>
    </row>
    <row r="587" spans="2:2">
      <c r="B587" t="s">
        <v>640</v>
      </c>
    </row>
    <row r="588" spans="2:2">
      <c r="B588" t="s">
        <v>641</v>
      </c>
    </row>
    <row r="589" spans="2:2">
      <c r="B589" t="s">
        <v>642</v>
      </c>
    </row>
    <row r="590" spans="2:2">
      <c r="B590" t="s">
        <v>643</v>
      </c>
    </row>
    <row r="591" spans="2:2">
      <c r="B591" t="s">
        <v>644</v>
      </c>
    </row>
    <row r="592" spans="2:2">
      <c r="B592" t="s">
        <v>645</v>
      </c>
    </row>
    <row r="593" spans="2:2">
      <c r="B593" t="s">
        <v>646</v>
      </c>
    </row>
    <row r="594" spans="2:2">
      <c r="B594" t="s">
        <v>881</v>
      </c>
    </row>
    <row r="595" spans="2:2">
      <c r="B595" t="s">
        <v>647</v>
      </c>
    </row>
    <row r="596" spans="2:2">
      <c r="B596" t="s">
        <v>757</v>
      </c>
    </row>
    <row r="597" spans="2:2">
      <c r="B597" t="s">
        <v>758</v>
      </c>
    </row>
    <row r="598" spans="2:2">
      <c r="B598" t="s">
        <v>759</v>
      </c>
    </row>
    <row r="599" spans="2:2">
      <c r="B599" t="s">
        <v>684</v>
      </c>
    </row>
    <row r="600" spans="2:2">
      <c r="B600" t="s">
        <v>691</v>
      </c>
    </row>
    <row r="601" spans="2:2">
      <c r="B601" t="s">
        <v>632</v>
      </c>
    </row>
    <row r="602" spans="2:2">
      <c r="B602" t="s">
        <v>633</v>
      </c>
    </row>
    <row r="603" spans="2:2">
      <c r="B603" t="s">
        <v>634</v>
      </c>
    </row>
    <row r="604" spans="2:2">
      <c r="B604" t="s">
        <v>635</v>
      </c>
    </row>
    <row r="605" spans="2:2">
      <c r="B605" t="s">
        <v>716</v>
      </c>
    </row>
    <row r="606" spans="2:2">
      <c r="B606" t="s">
        <v>637</v>
      </c>
    </row>
    <row r="607" spans="2:2">
      <c r="B607" t="s">
        <v>760</v>
      </c>
    </row>
    <row r="608" spans="2:2">
      <c r="B608" t="s">
        <v>639</v>
      </c>
    </row>
    <row r="609" spans="2:2">
      <c r="B609" t="s">
        <v>640</v>
      </c>
    </row>
    <row r="610" spans="2:2">
      <c r="B610" t="s">
        <v>641</v>
      </c>
    </row>
    <row r="611" spans="2:2">
      <c r="B611" t="s">
        <v>642</v>
      </c>
    </row>
    <row r="612" spans="2:2">
      <c r="B612" t="s">
        <v>643</v>
      </c>
    </row>
    <row r="613" spans="2:2">
      <c r="B613" t="s">
        <v>644</v>
      </c>
    </row>
    <row r="614" spans="2:2">
      <c r="B614" t="s">
        <v>645</v>
      </c>
    </row>
    <row r="615" spans="2:2">
      <c r="B615" t="s">
        <v>646</v>
      </c>
    </row>
    <row r="616" spans="2:2">
      <c r="B616" t="s">
        <v>881</v>
      </c>
    </row>
    <row r="617" spans="2:2">
      <c r="B617" t="s">
        <v>647</v>
      </c>
    </row>
    <row r="618" spans="2:2">
      <c r="B618" t="s">
        <v>761</v>
      </c>
    </row>
    <row r="619" spans="2:2">
      <c r="B619" t="s">
        <v>762</v>
      </c>
    </row>
    <row r="620" spans="2:2">
      <c r="B620" t="s">
        <v>759</v>
      </c>
    </row>
    <row r="621" spans="2:2">
      <c r="B621" t="s">
        <v>710</v>
      </c>
    </row>
    <row r="622" spans="2:2">
      <c r="B622" t="s">
        <v>691</v>
      </c>
    </row>
    <row r="623" spans="2:2">
      <c r="B623" t="s">
        <v>632</v>
      </c>
    </row>
    <row r="624" spans="2:2">
      <c r="B624" t="s">
        <v>633</v>
      </c>
    </row>
    <row r="625" spans="2:2">
      <c r="B625" t="s">
        <v>656</v>
      </c>
    </row>
    <row r="626" spans="2:2">
      <c r="B626" t="s">
        <v>662</v>
      </c>
    </row>
    <row r="627" spans="2:2">
      <c r="B627" t="s">
        <v>763</v>
      </c>
    </row>
    <row r="628" spans="2:2">
      <c r="B628" t="s">
        <v>764</v>
      </c>
    </row>
    <row r="629" spans="2:2">
      <c r="B629" t="s">
        <v>665</v>
      </c>
    </row>
    <row r="630" spans="2:2">
      <c r="B630" t="s">
        <v>666</v>
      </c>
    </row>
    <row r="631" spans="2:2">
      <c r="B631" t="s">
        <v>667</v>
      </c>
    </row>
    <row r="632" spans="2:2">
      <c r="B632" t="s">
        <v>668</v>
      </c>
    </row>
    <row r="633" spans="2:2">
      <c r="B633" t="s">
        <v>642</v>
      </c>
    </row>
    <row r="634" spans="2:2">
      <c r="B634" t="s">
        <v>643</v>
      </c>
    </row>
    <row r="635" spans="2:2">
      <c r="B635" t="s">
        <v>644</v>
      </c>
    </row>
    <row r="636" spans="2:2">
      <c r="B636" t="s">
        <v>645</v>
      </c>
    </row>
    <row r="637" spans="2:2">
      <c r="B637" t="s">
        <v>646</v>
      </c>
    </row>
    <row r="638" spans="2:2">
      <c r="B638" t="s">
        <v>881</v>
      </c>
    </row>
    <row r="639" spans="2:2">
      <c r="B639" t="s">
        <v>647</v>
      </c>
    </row>
    <row r="640" spans="2:2">
      <c r="B640" t="s">
        <v>765</v>
      </c>
    </row>
    <row r="641" spans="2:2">
      <c r="B641" t="s">
        <v>766</v>
      </c>
    </row>
    <row r="642" spans="2:2">
      <c r="B642" t="s">
        <v>759</v>
      </c>
    </row>
    <row r="643" spans="2:2">
      <c r="B643" t="s">
        <v>710</v>
      </c>
    </row>
    <row r="644" spans="2:2">
      <c r="B644" t="s">
        <v>691</v>
      </c>
    </row>
    <row r="645" spans="2:2">
      <c r="B645" t="s">
        <v>632</v>
      </c>
    </row>
    <row r="646" spans="2:2">
      <c r="B646" t="s">
        <v>633</v>
      </c>
    </row>
    <row r="647" spans="2:2">
      <c r="B647" t="s">
        <v>669</v>
      </c>
    </row>
    <row r="648" spans="2:2">
      <c r="B648" t="s">
        <v>670</v>
      </c>
    </row>
    <row r="649" spans="2:2">
      <c r="B649" t="s">
        <v>663</v>
      </c>
    </row>
    <row r="650" spans="2:2">
      <c r="B650" t="s">
        <v>657</v>
      </c>
    </row>
    <row r="651" spans="2:2">
      <c r="B651" t="s">
        <v>654</v>
      </c>
    </row>
    <row r="652" spans="2:2">
      <c r="B652" t="s">
        <v>639</v>
      </c>
    </row>
    <row r="653" spans="2:2">
      <c r="B653" t="s">
        <v>640</v>
      </c>
    </row>
    <row r="654" spans="2:2">
      <c r="B654" t="s">
        <v>641</v>
      </c>
    </row>
    <row r="655" spans="2:2">
      <c r="B655" t="s">
        <v>642</v>
      </c>
    </row>
    <row r="656" spans="2:2">
      <c r="B656" t="s">
        <v>643</v>
      </c>
    </row>
    <row r="657" spans="2:2">
      <c r="B657" t="s">
        <v>644</v>
      </c>
    </row>
    <row r="658" spans="2:2">
      <c r="B658" t="s">
        <v>645</v>
      </c>
    </row>
    <row r="659" spans="2:2">
      <c r="B659" t="s">
        <v>646</v>
      </c>
    </row>
    <row r="660" spans="2:2">
      <c r="B660" t="s">
        <v>881</v>
      </c>
    </row>
    <row r="661" spans="2:2">
      <c r="B661" t="s">
        <v>647</v>
      </c>
    </row>
    <row r="662" spans="2:2">
      <c r="B662" t="s">
        <v>767</v>
      </c>
    </row>
    <row r="663" spans="2:2">
      <c r="B663" t="s">
        <v>768</v>
      </c>
    </row>
    <row r="664" spans="2:2">
      <c r="B664" t="s">
        <v>759</v>
      </c>
    </row>
    <row r="665" spans="2:2">
      <c r="B665" t="s">
        <v>710</v>
      </c>
    </row>
    <row r="666" spans="2:2">
      <c r="B666" t="s">
        <v>691</v>
      </c>
    </row>
    <row r="667" spans="2:2">
      <c r="B667" t="s">
        <v>632</v>
      </c>
    </row>
    <row r="668" spans="2:2">
      <c r="B668" t="s">
        <v>633</v>
      </c>
    </row>
    <row r="669" spans="2:2">
      <c r="B669" t="s">
        <v>696</v>
      </c>
    </row>
    <row r="670" spans="2:2">
      <c r="B670" t="s">
        <v>715</v>
      </c>
    </row>
    <row r="671" spans="2:2">
      <c r="B671" t="s">
        <v>716</v>
      </c>
    </row>
    <row r="672" spans="2:2">
      <c r="B672" t="s">
        <v>717</v>
      </c>
    </row>
    <row r="673" spans="2:2">
      <c r="B673" t="s">
        <v>658</v>
      </c>
    </row>
    <row r="674" spans="2:2">
      <c r="B674" t="s">
        <v>718</v>
      </c>
    </row>
    <row r="675" spans="2:2">
      <c r="B675" t="s">
        <v>719</v>
      </c>
    </row>
    <row r="676" spans="2:2">
      <c r="B676" t="s">
        <v>641</v>
      </c>
    </row>
    <row r="677" spans="2:2">
      <c r="B677" t="s">
        <v>642</v>
      </c>
    </row>
    <row r="678" spans="2:2">
      <c r="B678" t="s">
        <v>643</v>
      </c>
    </row>
    <row r="679" spans="2:2">
      <c r="B679" t="s">
        <v>644</v>
      </c>
    </row>
    <row r="680" spans="2:2">
      <c r="B680" t="s">
        <v>645</v>
      </c>
    </row>
    <row r="681" spans="2:2">
      <c r="B681" t="s">
        <v>646</v>
      </c>
    </row>
    <row r="682" spans="2:2">
      <c r="B682" t="s">
        <v>881</v>
      </c>
    </row>
    <row r="683" spans="2:2">
      <c r="B683" t="s">
        <v>647</v>
      </c>
    </row>
    <row r="684" spans="2:2">
      <c r="B684" t="s">
        <v>769</v>
      </c>
    </row>
    <row r="685" spans="2:2">
      <c r="B685" t="s">
        <v>770</v>
      </c>
    </row>
    <row r="686" spans="2:2">
      <c r="B686" t="s">
        <v>759</v>
      </c>
    </row>
    <row r="687" spans="2:2">
      <c r="B687" t="s">
        <v>710</v>
      </c>
    </row>
    <row r="688" spans="2:2">
      <c r="B688" t="s">
        <v>691</v>
      </c>
    </row>
    <row r="689" spans="2:2">
      <c r="B689" t="s">
        <v>632</v>
      </c>
    </row>
    <row r="690" spans="2:2">
      <c r="B690" t="s">
        <v>633</v>
      </c>
    </row>
    <row r="691" spans="2:2">
      <c r="B691" t="s">
        <v>696</v>
      </c>
    </row>
    <row r="692" spans="2:2">
      <c r="B692" t="s">
        <v>672</v>
      </c>
    </row>
    <row r="693" spans="2:2">
      <c r="B693" t="s">
        <v>673</v>
      </c>
    </row>
    <row r="694" spans="2:2">
      <c r="B694" t="s">
        <v>771</v>
      </c>
    </row>
    <row r="695" spans="2:2">
      <c r="B695" t="s">
        <v>658</v>
      </c>
    </row>
    <row r="696" spans="2:2">
      <c r="B696" t="s">
        <v>675</v>
      </c>
    </row>
    <row r="697" spans="2:2">
      <c r="B697" t="s">
        <v>719</v>
      </c>
    </row>
    <row r="698" spans="2:2">
      <c r="B698" t="s">
        <v>641</v>
      </c>
    </row>
    <row r="699" spans="2:2">
      <c r="B699" t="s">
        <v>642</v>
      </c>
    </row>
    <row r="700" spans="2:2">
      <c r="B700" t="s">
        <v>643</v>
      </c>
    </row>
    <row r="701" spans="2:2">
      <c r="B701" t="s">
        <v>644</v>
      </c>
    </row>
    <row r="702" spans="2:2">
      <c r="B702" t="s">
        <v>645</v>
      </c>
    </row>
    <row r="703" spans="2:2">
      <c r="B703" t="s">
        <v>646</v>
      </c>
    </row>
    <row r="704" spans="2:2">
      <c r="B704" t="s">
        <v>881</v>
      </c>
    </row>
    <row r="705" spans="2:2">
      <c r="B705" t="s">
        <v>647</v>
      </c>
    </row>
    <row r="706" spans="2:2">
      <c r="B706" t="s">
        <v>772</v>
      </c>
    </row>
    <row r="707" spans="2:2">
      <c r="B707" t="s">
        <v>773</v>
      </c>
    </row>
    <row r="708" spans="2:2">
      <c r="B708" t="s">
        <v>759</v>
      </c>
    </row>
    <row r="709" spans="2:2">
      <c r="B709" t="s">
        <v>774</v>
      </c>
    </row>
    <row r="710" spans="2:2">
      <c r="B710" t="s">
        <v>746</v>
      </c>
    </row>
    <row r="711" spans="2:2">
      <c r="B711" t="s">
        <v>632</v>
      </c>
    </row>
    <row r="712" spans="2:2">
      <c r="B712" t="s">
        <v>633</v>
      </c>
    </row>
    <row r="713" spans="2:2">
      <c r="B713" t="s">
        <v>656</v>
      </c>
    </row>
    <row r="714" spans="2:2">
      <c r="B714" t="s">
        <v>662</v>
      </c>
    </row>
    <row r="715" spans="2:2">
      <c r="B715" t="s">
        <v>763</v>
      </c>
    </row>
    <row r="716" spans="2:2">
      <c r="B716" t="s">
        <v>764</v>
      </c>
    </row>
    <row r="717" spans="2:2">
      <c r="B717" t="s">
        <v>665</v>
      </c>
    </row>
    <row r="718" spans="2:2">
      <c r="B718" t="s">
        <v>666</v>
      </c>
    </row>
    <row r="719" spans="2:2">
      <c r="B719" t="s">
        <v>667</v>
      </c>
    </row>
    <row r="720" spans="2:2">
      <c r="B720" t="s">
        <v>668</v>
      </c>
    </row>
    <row r="721" spans="2:2">
      <c r="B721" t="s">
        <v>642</v>
      </c>
    </row>
    <row r="722" spans="2:2">
      <c r="B722" t="s">
        <v>643</v>
      </c>
    </row>
    <row r="723" spans="2:2">
      <c r="B723" t="s">
        <v>644</v>
      </c>
    </row>
    <row r="724" spans="2:2">
      <c r="B724" t="s">
        <v>645</v>
      </c>
    </row>
    <row r="725" spans="2:2">
      <c r="B725" t="s">
        <v>646</v>
      </c>
    </row>
    <row r="726" spans="2:2">
      <c r="B726" t="s">
        <v>881</v>
      </c>
    </row>
    <row r="727" spans="2:2">
      <c r="B727" t="s">
        <v>647</v>
      </c>
    </row>
    <row r="728" spans="2:2">
      <c r="B728" t="s">
        <v>775</v>
      </c>
    </row>
    <row r="729" spans="2:2">
      <c r="B729" t="s">
        <v>776</v>
      </c>
    </row>
    <row r="730" spans="2:2">
      <c r="B730" t="s">
        <v>759</v>
      </c>
    </row>
    <row r="731" spans="2:2">
      <c r="B731" t="s">
        <v>774</v>
      </c>
    </row>
    <row r="732" spans="2:2">
      <c r="B732" t="s">
        <v>746</v>
      </c>
    </row>
    <row r="733" spans="2:2">
      <c r="B733" t="s">
        <v>632</v>
      </c>
    </row>
    <row r="734" spans="2:2">
      <c r="B734" t="s">
        <v>633</v>
      </c>
    </row>
    <row r="735" spans="2:2">
      <c r="B735" t="s">
        <v>669</v>
      </c>
    </row>
    <row r="736" spans="2:2">
      <c r="B736" t="s">
        <v>670</v>
      </c>
    </row>
    <row r="737" spans="2:2">
      <c r="B737" t="s">
        <v>777</v>
      </c>
    </row>
    <row r="738" spans="2:2">
      <c r="B738" t="s">
        <v>657</v>
      </c>
    </row>
    <row r="739" spans="2:2">
      <c r="B739" t="s">
        <v>654</v>
      </c>
    </row>
    <row r="740" spans="2:2">
      <c r="B740" t="s">
        <v>639</v>
      </c>
    </row>
    <row r="741" spans="2:2">
      <c r="B741" t="s">
        <v>640</v>
      </c>
    </row>
    <row r="742" spans="2:2">
      <c r="B742" t="s">
        <v>641</v>
      </c>
    </row>
    <row r="743" spans="2:2">
      <c r="B743" t="s">
        <v>642</v>
      </c>
    </row>
    <row r="744" spans="2:2">
      <c r="B744" t="s">
        <v>643</v>
      </c>
    </row>
    <row r="745" spans="2:2">
      <c r="B745" t="s">
        <v>644</v>
      </c>
    </row>
    <row r="746" spans="2:2">
      <c r="B746" t="s">
        <v>645</v>
      </c>
    </row>
    <row r="747" spans="2:2">
      <c r="B747" t="s">
        <v>646</v>
      </c>
    </row>
    <row r="748" spans="2:2">
      <c r="B748" t="s">
        <v>881</v>
      </c>
    </row>
    <row r="749" spans="2:2">
      <c r="B749" t="s">
        <v>647</v>
      </c>
    </row>
    <row r="750" spans="2:2">
      <c r="B750" t="s">
        <v>778</v>
      </c>
    </row>
    <row r="751" spans="2:2">
      <c r="B751" t="s">
        <v>779</v>
      </c>
    </row>
    <row r="752" spans="2:2">
      <c r="B752" t="s">
        <v>759</v>
      </c>
    </row>
    <row r="753" spans="2:2">
      <c r="B753" t="s">
        <v>774</v>
      </c>
    </row>
    <row r="754" spans="2:2">
      <c r="B754" t="s">
        <v>746</v>
      </c>
    </row>
    <row r="755" spans="2:2">
      <c r="B755" t="s">
        <v>632</v>
      </c>
    </row>
    <row r="756" spans="2:2">
      <c r="B756" t="s">
        <v>633</v>
      </c>
    </row>
    <row r="757" spans="2:2">
      <c r="B757" t="s">
        <v>696</v>
      </c>
    </row>
    <row r="758" spans="2:2">
      <c r="B758" t="s">
        <v>672</v>
      </c>
    </row>
    <row r="759" spans="2:2">
      <c r="B759" t="s">
        <v>780</v>
      </c>
    </row>
    <row r="760" spans="2:2">
      <c r="B760" t="s">
        <v>781</v>
      </c>
    </row>
    <row r="761" spans="2:2">
      <c r="B761" t="s">
        <v>658</v>
      </c>
    </row>
    <row r="762" spans="2:2">
      <c r="B762" t="s">
        <v>675</v>
      </c>
    </row>
    <row r="763" spans="2:2">
      <c r="B763" t="s">
        <v>719</v>
      </c>
    </row>
    <row r="764" spans="2:2">
      <c r="B764" t="s">
        <v>641</v>
      </c>
    </row>
    <row r="765" spans="2:2">
      <c r="B765" t="s">
        <v>642</v>
      </c>
    </row>
    <row r="766" spans="2:2">
      <c r="B766" t="s">
        <v>643</v>
      </c>
    </row>
    <row r="767" spans="2:2">
      <c r="B767" t="s">
        <v>644</v>
      </c>
    </row>
    <row r="768" spans="2:2">
      <c r="B768" t="s">
        <v>645</v>
      </c>
    </row>
    <row r="769" spans="2:2">
      <c r="B769" t="s">
        <v>646</v>
      </c>
    </row>
    <row r="770" spans="2:2">
      <c r="B770" t="s">
        <v>881</v>
      </c>
    </row>
    <row r="771" spans="2:2">
      <c r="B771" t="s">
        <v>647</v>
      </c>
    </row>
    <row r="772" spans="2:2">
      <c r="B772" t="s">
        <v>782</v>
      </c>
    </row>
    <row r="773" spans="2:2">
      <c r="B773" t="s">
        <v>783</v>
      </c>
    </row>
    <row r="774" spans="2:2">
      <c r="B774" t="s">
        <v>759</v>
      </c>
    </row>
    <row r="775" spans="2:2">
      <c r="B775" t="s">
        <v>784</v>
      </c>
    </row>
    <row r="776" spans="2:2">
      <c r="B776" t="s">
        <v>661</v>
      </c>
    </row>
    <row r="777" spans="2:2">
      <c r="B777" t="s">
        <v>632</v>
      </c>
    </row>
    <row r="778" spans="2:2">
      <c r="B778" t="s">
        <v>633</v>
      </c>
    </row>
    <row r="779" spans="2:2">
      <c r="B779" t="s">
        <v>656</v>
      </c>
    </row>
    <row r="780" spans="2:2">
      <c r="B780" t="s">
        <v>662</v>
      </c>
    </row>
    <row r="781" spans="2:2">
      <c r="B781" t="s">
        <v>763</v>
      </c>
    </row>
    <row r="782" spans="2:2">
      <c r="B782" t="s">
        <v>764</v>
      </c>
    </row>
    <row r="783" spans="2:2">
      <c r="B783" t="s">
        <v>665</v>
      </c>
    </row>
    <row r="784" spans="2:2">
      <c r="B784" t="s">
        <v>666</v>
      </c>
    </row>
    <row r="785" spans="2:2">
      <c r="B785" t="s">
        <v>667</v>
      </c>
    </row>
    <row r="786" spans="2:2">
      <c r="B786" t="s">
        <v>668</v>
      </c>
    </row>
    <row r="787" spans="2:2">
      <c r="B787" t="s">
        <v>642</v>
      </c>
    </row>
    <row r="788" spans="2:2">
      <c r="B788" t="s">
        <v>643</v>
      </c>
    </row>
    <row r="789" spans="2:2">
      <c r="B789" t="s">
        <v>644</v>
      </c>
    </row>
    <row r="790" spans="2:2">
      <c r="B790" t="s">
        <v>645</v>
      </c>
    </row>
    <row r="791" spans="2:2">
      <c r="B791" t="s">
        <v>646</v>
      </c>
    </row>
    <row r="792" spans="2:2">
      <c r="B792" t="s">
        <v>881</v>
      </c>
    </row>
    <row r="793" spans="2:2">
      <c r="B793" t="s">
        <v>647</v>
      </c>
    </row>
    <row r="794" spans="2:2">
      <c r="B794" t="s">
        <v>785</v>
      </c>
    </row>
    <row r="795" spans="2:2">
      <c r="B795" t="s">
        <v>786</v>
      </c>
    </row>
    <row r="796" spans="2:2">
      <c r="B796" t="s">
        <v>759</v>
      </c>
    </row>
    <row r="797" spans="2:2">
      <c r="B797" t="s">
        <v>784</v>
      </c>
    </row>
    <row r="798" spans="2:2">
      <c r="B798" t="s">
        <v>661</v>
      </c>
    </row>
    <row r="799" spans="2:2">
      <c r="B799" t="s">
        <v>632</v>
      </c>
    </row>
    <row r="800" spans="2:2">
      <c r="B800" t="s">
        <v>633</v>
      </c>
    </row>
    <row r="801" spans="2:2">
      <c r="B801" t="s">
        <v>669</v>
      </c>
    </row>
    <row r="802" spans="2:2">
      <c r="B802" t="s">
        <v>670</v>
      </c>
    </row>
    <row r="803" spans="2:2">
      <c r="B803" t="s">
        <v>777</v>
      </c>
    </row>
    <row r="804" spans="2:2">
      <c r="B804" t="s">
        <v>657</v>
      </c>
    </row>
    <row r="805" spans="2:2">
      <c r="B805" t="s">
        <v>654</v>
      </c>
    </row>
    <row r="806" spans="2:2">
      <c r="B806" t="s">
        <v>639</v>
      </c>
    </row>
    <row r="807" spans="2:2">
      <c r="B807" t="s">
        <v>640</v>
      </c>
    </row>
    <row r="808" spans="2:2">
      <c r="B808" t="s">
        <v>641</v>
      </c>
    </row>
    <row r="809" spans="2:2">
      <c r="B809" t="s">
        <v>642</v>
      </c>
    </row>
    <row r="810" spans="2:2">
      <c r="B810" t="s">
        <v>643</v>
      </c>
    </row>
    <row r="811" spans="2:2">
      <c r="B811" t="s">
        <v>644</v>
      </c>
    </row>
    <row r="812" spans="2:2">
      <c r="B812" t="s">
        <v>645</v>
      </c>
    </row>
    <row r="813" spans="2:2">
      <c r="B813" t="s">
        <v>646</v>
      </c>
    </row>
    <row r="814" spans="2:2">
      <c r="B814" t="s">
        <v>881</v>
      </c>
    </row>
    <row r="815" spans="2:2">
      <c r="B815" t="s">
        <v>647</v>
      </c>
    </row>
    <row r="816" spans="2:2">
      <c r="B816" t="s">
        <v>787</v>
      </c>
    </row>
    <row r="817" spans="2:2">
      <c r="B817" t="s">
        <v>788</v>
      </c>
    </row>
    <row r="818" spans="2:2">
      <c r="B818" t="s">
        <v>759</v>
      </c>
    </row>
    <row r="819" spans="2:2">
      <c r="B819" t="s">
        <v>784</v>
      </c>
    </row>
    <row r="820" spans="2:2">
      <c r="B820" t="s">
        <v>661</v>
      </c>
    </row>
    <row r="821" spans="2:2">
      <c r="B821" t="s">
        <v>632</v>
      </c>
    </row>
    <row r="822" spans="2:2">
      <c r="B822" t="s">
        <v>633</v>
      </c>
    </row>
    <row r="823" spans="2:2">
      <c r="B823" t="s">
        <v>696</v>
      </c>
    </row>
    <row r="824" spans="2:2">
      <c r="B824" t="s">
        <v>672</v>
      </c>
    </row>
    <row r="825" spans="2:2">
      <c r="B825" t="s">
        <v>780</v>
      </c>
    </row>
    <row r="826" spans="2:2">
      <c r="B826" t="s">
        <v>781</v>
      </c>
    </row>
    <row r="827" spans="2:2">
      <c r="B827" t="s">
        <v>658</v>
      </c>
    </row>
    <row r="828" spans="2:2">
      <c r="B828" t="s">
        <v>675</v>
      </c>
    </row>
    <row r="829" spans="2:2">
      <c r="B829" t="s">
        <v>719</v>
      </c>
    </row>
    <row r="830" spans="2:2">
      <c r="B830" t="s">
        <v>641</v>
      </c>
    </row>
    <row r="831" spans="2:2">
      <c r="B831" t="s">
        <v>642</v>
      </c>
    </row>
    <row r="832" spans="2:2">
      <c r="B832" t="s">
        <v>643</v>
      </c>
    </row>
    <row r="833" spans="2:2">
      <c r="B833" t="s">
        <v>644</v>
      </c>
    </row>
    <row r="834" spans="2:2">
      <c r="B834" t="s">
        <v>645</v>
      </c>
    </row>
    <row r="835" spans="2:2">
      <c r="B835" t="s">
        <v>646</v>
      </c>
    </row>
    <row r="836" spans="2:2">
      <c r="B836" t="s">
        <v>881</v>
      </c>
    </row>
    <row r="837" spans="2:2">
      <c r="B837" t="s">
        <v>647</v>
      </c>
    </row>
    <row r="838" spans="2:2">
      <c r="B838" t="s">
        <v>789</v>
      </c>
    </row>
    <row r="839" spans="2:2">
      <c r="B839" t="s">
        <v>790</v>
      </c>
    </row>
    <row r="840" spans="2:2">
      <c r="B840" t="s">
        <v>759</v>
      </c>
    </row>
    <row r="841" spans="2:2">
      <c r="B841" t="s">
        <v>791</v>
      </c>
    </row>
    <row r="842" spans="2:2">
      <c r="B842" t="s">
        <v>792</v>
      </c>
    </row>
    <row r="843" spans="2:2">
      <c r="B843" t="s">
        <v>632</v>
      </c>
    </row>
    <row r="844" spans="2:2">
      <c r="B844" t="s">
        <v>633</v>
      </c>
    </row>
    <row r="845" spans="2:2">
      <c r="B845" t="s">
        <v>656</v>
      </c>
    </row>
    <row r="846" spans="2:2">
      <c r="B846" t="s">
        <v>662</v>
      </c>
    </row>
    <row r="847" spans="2:2">
      <c r="B847" t="s">
        <v>763</v>
      </c>
    </row>
    <row r="848" spans="2:2">
      <c r="B848" t="s">
        <v>764</v>
      </c>
    </row>
    <row r="849" spans="2:2">
      <c r="B849" t="s">
        <v>665</v>
      </c>
    </row>
    <row r="850" spans="2:2">
      <c r="B850" t="s">
        <v>666</v>
      </c>
    </row>
    <row r="851" spans="2:2">
      <c r="B851" t="s">
        <v>667</v>
      </c>
    </row>
    <row r="852" spans="2:2">
      <c r="B852" t="s">
        <v>668</v>
      </c>
    </row>
    <row r="853" spans="2:2">
      <c r="B853" t="s">
        <v>642</v>
      </c>
    </row>
    <row r="854" spans="2:2">
      <c r="B854" t="s">
        <v>643</v>
      </c>
    </row>
    <row r="855" spans="2:2">
      <c r="B855" t="s">
        <v>644</v>
      </c>
    </row>
    <row r="856" spans="2:2">
      <c r="B856" t="s">
        <v>645</v>
      </c>
    </row>
    <row r="857" spans="2:2">
      <c r="B857" t="s">
        <v>646</v>
      </c>
    </row>
    <row r="858" spans="2:2">
      <c r="B858" t="s">
        <v>881</v>
      </c>
    </row>
    <row r="859" spans="2:2">
      <c r="B859" t="s">
        <v>647</v>
      </c>
    </row>
    <row r="860" spans="2:2">
      <c r="B860" t="s">
        <v>793</v>
      </c>
    </row>
    <row r="861" spans="2:2">
      <c r="B861" t="s">
        <v>794</v>
      </c>
    </row>
    <row r="862" spans="2:2">
      <c r="B862" t="s">
        <v>759</v>
      </c>
    </row>
    <row r="863" spans="2:2">
      <c r="B863" t="s">
        <v>791</v>
      </c>
    </row>
    <row r="864" spans="2:2">
      <c r="B864" t="s">
        <v>792</v>
      </c>
    </row>
    <row r="865" spans="2:2">
      <c r="B865" t="s">
        <v>632</v>
      </c>
    </row>
    <row r="866" spans="2:2">
      <c r="B866" t="s">
        <v>633</v>
      </c>
    </row>
    <row r="867" spans="2:2">
      <c r="B867" t="s">
        <v>669</v>
      </c>
    </row>
    <row r="868" spans="2:2">
      <c r="B868" t="s">
        <v>670</v>
      </c>
    </row>
    <row r="869" spans="2:2">
      <c r="B869" t="s">
        <v>777</v>
      </c>
    </row>
    <row r="870" spans="2:2">
      <c r="B870" t="s">
        <v>657</v>
      </c>
    </row>
    <row r="871" spans="2:2">
      <c r="B871" t="s">
        <v>654</v>
      </c>
    </row>
    <row r="872" spans="2:2">
      <c r="B872" t="s">
        <v>639</v>
      </c>
    </row>
    <row r="873" spans="2:2">
      <c r="B873" t="s">
        <v>640</v>
      </c>
    </row>
    <row r="874" spans="2:2">
      <c r="B874" t="s">
        <v>641</v>
      </c>
    </row>
    <row r="875" spans="2:2">
      <c r="B875" t="s">
        <v>642</v>
      </c>
    </row>
    <row r="876" spans="2:2">
      <c r="B876" t="s">
        <v>643</v>
      </c>
    </row>
    <row r="877" spans="2:2">
      <c r="B877" t="s">
        <v>644</v>
      </c>
    </row>
    <row r="878" spans="2:2">
      <c r="B878" t="s">
        <v>645</v>
      </c>
    </row>
    <row r="879" spans="2:2">
      <c r="B879" t="s">
        <v>646</v>
      </c>
    </row>
    <row r="880" spans="2:2">
      <c r="B880" t="s">
        <v>881</v>
      </c>
    </row>
    <row r="881" spans="2:2">
      <c r="B881" t="s">
        <v>647</v>
      </c>
    </row>
    <row r="882" spans="2:2">
      <c r="B882" t="s">
        <v>795</v>
      </c>
    </row>
    <row r="883" spans="2:2">
      <c r="B883" t="s">
        <v>796</v>
      </c>
    </row>
    <row r="884" spans="2:2">
      <c r="B884" t="s">
        <v>759</v>
      </c>
    </row>
    <row r="885" spans="2:2">
      <c r="B885" t="s">
        <v>791</v>
      </c>
    </row>
    <row r="886" spans="2:2">
      <c r="B886" t="s">
        <v>792</v>
      </c>
    </row>
    <row r="887" spans="2:2">
      <c r="B887" t="s">
        <v>632</v>
      </c>
    </row>
    <row r="888" spans="2:2">
      <c r="B888" t="s">
        <v>633</v>
      </c>
    </row>
    <row r="889" spans="2:2">
      <c r="B889" t="s">
        <v>696</v>
      </c>
    </row>
    <row r="890" spans="2:2">
      <c r="B890" t="s">
        <v>672</v>
      </c>
    </row>
    <row r="891" spans="2:2">
      <c r="B891" t="s">
        <v>780</v>
      </c>
    </row>
    <row r="892" spans="2:2">
      <c r="B892" t="s">
        <v>797</v>
      </c>
    </row>
    <row r="893" spans="2:2">
      <c r="B893" t="s">
        <v>658</v>
      </c>
    </row>
    <row r="894" spans="2:2">
      <c r="B894" t="s">
        <v>798</v>
      </c>
    </row>
    <row r="895" spans="2:2">
      <c r="B895" t="s">
        <v>719</v>
      </c>
    </row>
    <row r="896" spans="2:2">
      <c r="B896" t="s">
        <v>641</v>
      </c>
    </row>
    <row r="897" spans="2:2">
      <c r="B897" t="s">
        <v>642</v>
      </c>
    </row>
    <row r="898" spans="2:2">
      <c r="B898" t="s">
        <v>643</v>
      </c>
    </row>
    <row r="899" spans="2:2">
      <c r="B899" t="s">
        <v>644</v>
      </c>
    </row>
    <row r="900" spans="2:2">
      <c r="B900" t="s">
        <v>645</v>
      </c>
    </row>
    <row r="901" spans="2:2">
      <c r="B901" t="s">
        <v>646</v>
      </c>
    </row>
    <row r="902" spans="2:2">
      <c r="B902" t="s">
        <v>881</v>
      </c>
    </row>
    <row r="903" spans="2:2">
      <c r="B903" t="s">
        <v>647</v>
      </c>
    </row>
    <row r="904" spans="2:2">
      <c r="B904" t="s">
        <v>799</v>
      </c>
    </row>
    <row r="905" spans="2:2">
      <c r="B905" t="s">
        <v>800</v>
      </c>
    </row>
    <row r="906" spans="2:2">
      <c r="B906" t="s">
        <v>759</v>
      </c>
    </row>
    <row r="907" spans="2:2">
      <c r="B907" t="s">
        <v>801</v>
      </c>
    </row>
    <row r="908" spans="2:2">
      <c r="B908" t="s">
        <v>631</v>
      </c>
    </row>
    <row r="909" spans="2:2">
      <c r="B909" t="s">
        <v>632</v>
      </c>
    </row>
    <row r="910" spans="2:2">
      <c r="B910" t="s">
        <v>633</v>
      </c>
    </row>
    <row r="911" spans="2:2">
      <c r="B911" t="s">
        <v>634</v>
      </c>
    </row>
    <row r="912" spans="2:2">
      <c r="B912" t="s">
        <v>679</v>
      </c>
    </row>
    <row r="913" spans="2:2">
      <c r="B913" t="s">
        <v>680</v>
      </c>
    </row>
    <row r="914" spans="2:2">
      <c r="B914" t="s">
        <v>637</v>
      </c>
    </row>
    <row r="915" spans="2:2">
      <c r="B915" t="s">
        <v>802</v>
      </c>
    </row>
    <row r="916" spans="2:2">
      <c r="B916" t="s">
        <v>639</v>
      </c>
    </row>
    <row r="917" spans="2:2">
      <c r="B917" t="s">
        <v>640</v>
      </c>
    </row>
    <row r="918" spans="2:2">
      <c r="B918" t="s">
        <v>641</v>
      </c>
    </row>
    <row r="919" spans="2:2">
      <c r="B919" t="s">
        <v>642</v>
      </c>
    </row>
    <row r="920" spans="2:2">
      <c r="B920" t="s">
        <v>643</v>
      </c>
    </row>
    <row r="921" spans="2:2">
      <c r="B921" t="s">
        <v>644</v>
      </c>
    </row>
    <row r="922" spans="2:2">
      <c r="B922" t="s">
        <v>645</v>
      </c>
    </row>
    <row r="923" spans="2:2">
      <c r="B923" t="s">
        <v>646</v>
      </c>
    </row>
    <row r="924" spans="2:2">
      <c r="B924" t="s">
        <v>881</v>
      </c>
    </row>
    <row r="925" spans="2:2">
      <c r="B925" t="s">
        <v>647</v>
      </c>
    </row>
    <row r="926" spans="2:2">
      <c r="B926" t="s">
        <v>803</v>
      </c>
    </row>
    <row r="927" spans="2:2">
      <c r="B927" t="s">
        <v>804</v>
      </c>
    </row>
    <row r="928" spans="2:2">
      <c r="B928" t="s">
        <v>805</v>
      </c>
    </row>
    <row r="929" spans="2:2">
      <c r="B929" t="s">
        <v>806</v>
      </c>
    </row>
    <row r="930" spans="2:2">
      <c r="B930" t="s">
        <v>691</v>
      </c>
    </row>
    <row r="931" spans="2:2">
      <c r="B931" t="s">
        <v>632</v>
      </c>
    </row>
    <row r="932" spans="2:2">
      <c r="B932" t="s">
        <v>633</v>
      </c>
    </row>
    <row r="933" spans="2:2">
      <c r="B933" t="s">
        <v>656</v>
      </c>
    </row>
    <row r="934" spans="2:2">
      <c r="B934" t="s">
        <v>662</v>
      </c>
    </row>
    <row r="935" spans="2:2">
      <c r="B935" t="s">
        <v>807</v>
      </c>
    </row>
    <row r="936" spans="2:2">
      <c r="B936" t="s">
        <v>764</v>
      </c>
    </row>
    <row r="937" spans="2:2">
      <c r="B937" t="s">
        <v>665</v>
      </c>
    </row>
    <row r="938" spans="2:2">
      <c r="B938" t="s">
        <v>666</v>
      </c>
    </row>
    <row r="939" spans="2:2">
      <c r="B939" t="s">
        <v>667</v>
      </c>
    </row>
    <row r="940" spans="2:2">
      <c r="B940" t="s">
        <v>668</v>
      </c>
    </row>
    <row r="941" spans="2:2">
      <c r="B941" t="s">
        <v>642</v>
      </c>
    </row>
    <row r="942" spans="2:2">
      <c r="B942" t="s">
        <v>643</v>
      </c>
    </row>
    <row r="943" spans="2:2">
      <c r="B943" t="s">
        <v>644</v>
      </c>
    </row>
    <row r="944" spans="2:2">
      <c r="B944" t="s">
        <v>645</v>
      </c>
    </row>
    <row r="945" spans="2:2">
      <c r="B945" t="s">
        <v>808</v>
      </c>
    </row>
    <row r="946" spans="2:2">
      <c r="B946" t="s">
        <v>882</v>
      </c>
    </row>
    <row r="947" spans="2:2">
      <c r="B947" t="s">
        <v>647</v>
      </c>
    </row>
    <row r="948" spans="2:2">
      <c r="B948" t="s">
        <v>809</v>
      </c>
    </row>
    <row r="949" spans="2:2">
      <c r="B949" t="s">
        <v>810</v>
      </c>
    </row>
    <row r="950" spans="2:2">
      <c r="B950" t="s">
        <v>805</v>
      </c>
    </row>
    <row r="951" spans="2:2">
      <c r="B951" t="s">
        <v>806</v>
      </c>
    </row>
    <row r="952" spans="2:2">
      <c r="B952" t="s">
        <v>691</v>
      </c>
    </row>
    <row r="953" spans="2:2">
      <c r="B953" t="s">
        <v>632</v>
      </c>
    </row>
    <row r="954" spans="2:2">
      <c r="B954" t="s">
        <v>633</v>
      </c>
    </row>
    <row r="955" spans="2:2">
      <c r="B955" t="s">
        <v>669</v>
      </c>
    </row>
    <row r="956" spans="2:2">
      <c r="B956" t="s">
        <v>670</v>
      </c>
    </row>
    <row r="957" spans="2:2">
      <c r="B957" t="s">
        <v>777</v>
      </c>
    </row>
    <row r="958" spans="2:2">
      <c r="B958" t="s">
        <v>657</v>
      </c>
    </row>
    <row r="959" spans="2:2">
      <c r="B959" t="s">
        <v>654</v>
      </c>
    </row>
    <row r="960" spans="2:2">
      <c r="B960" t="s">
        <v>639</v>
      </c>
    </row>
    <row r="961" spans="2:2">
      <c r="B961" t="s">
        <v>640</v>
      </c>
    </row>
    <row r="962" spans="2:2">
      <c r="B962" t="s">
        <v>641</v>
      </c>
    </row>
    <row r="963" spans="2:2">
      <c r="B963" t="s">
        <v>642</v>
      </c>
    </row>
    <row r="964" spans="2:2">
      <c r="B964" t="s">
        <v>643</v>
      </c>
    </row>
    <row r="965" spans="2:2">
      <c r="B965" t="s">
        <v>644</v>
      </c>
    </row>
    <row r="966" spans="2:2">
      <c r="B966" t="s">
        <v>645</v>
      </c>
    </row>
    <row r="967" spans="2:2">
      <c r="B967" t="s">
        <v>808</v>
      </c>
    </row>
    <row r="968" spans="2:2">
      <c r="B968" t="s">
        <v>883</v>
      </c>
    </row>
    <row r="969" spans="2:2">
      <c r="B969" t="s">
        <v>647</v>
      </c>
    </row>
    <row r="970" spans="2:2">
      <c r="B970" t="s">
        <v>811</v>
      </c>
    </row>
    <row r="971" spans="2:2">
      <c r="B971" t="s">
        <v>812</v>
      </c>
    </row>
    <row r="972" spans="2:2">
      <c r="B972" t="s">
        <v>805</v>
      </c>
    </row>
    <row r="973" spans="2:2">
      <c r="B973" t="s">
        <v>806</v>
      </c>
    </row>
    <row r="974" spans="2:2">
      <c r="B974" t="s">
        <v>691</v>
      </c>
    </row>
    <row r="975" spans="2:2">
      <c r="B975" t="s">
        <v>632</v>
      </c>
    </row>
    <row r="976" spans="2:2">
      <c r="B976" t="s">
        <v>633</v>
      </c>
    </row>
    <row r="977" spans="2:2">
      <c r="B977" t="s">
        <v>696</v>
      </c>
    </row>
    <row r="978" spans="2:2">
      <c r="B978" t="s">
        <v>715</v>
      </c>
    </row>
    <row r="979" spans="2:2">
      <c r="B979" t="s">
        <v>663</v>
      </c>
    </row>
    <row r="980" spans="2:2">
      <c r="B980" t="s">
        <v>717</v>
      </c>
    </row>
    <row r="981" spans="2:2">
      <c r="B981" t="s">
        <v>658</v>
      </c>
    </row>
    <row r="982" spans="2:2">
      <c r="B982" t="s">
        <v>718</v>
      </c>
    </row>
    <row r="983" spans="2:2">
      <c r="B983" t="s">
        <v>813</v>
      </c>
    </row>
    <row r="984" spans="2:2">
      <c r="B984" t="s">
        <v>641</v>
      </c>
    </row>
    <row r="985" spans="2:2">
      <c r="B985" t="s">
        <v>642</v>
      </c>
    </row>
    <row r="986" spans="2:2">
      <c r="B986" t="s">
        <v>643</v>
      </c>
    </row>
    <row r="987" spans="2:2">
      <c r="B987" t="s">
        <v>644</v>
      </c>
    </row>
    <row r="988" spans="2:2">
      <c r="B988" t="s">
        <v>645</v>
      </c>
    </row>
    <row r="989" spans="2:2">
      <c r="B989" t="s">
        <v>808</v>
      </c>
    </row>
    <row r="990" spans="2:2">
      <c r="B990" t="s">
        <v>883</v>
      </c>
    </row>
    <row r="991" spans="2:2">
      <c r="B991" t="s">
        <v>647</v>
      </c>
    </row>
    <row r="992" spans="2:2">
      <c r="B992" t="s">
        <v>814</v>
      </c>
    </row>
    <row r="993" spans="2:2">
      <c r="B993" t="s">
        <v>815</v>
      </c>
    </row>
    <row r="994" spans="2:2">
      <c r="B994" t="s">
        <v>805</v>
      </c>
    </row>
    <row r="995" spans="2:2">
      <c r="B995" t="s">
        <v>806</v>
      </c>
    </row>
    <row r="996" spans="2:2">
      <c r="B996" t="s">
        <v>691</v>
      </c>
    </row>
    <row r="997" spans="2:2">
      <c r="B997" t="s">
        <v>632</v>
      </c>
    </row>
    <row r="998" spans="2:2">
      <c r="B998" t="s">
        <v>633</v>
      </c>
    </row>
    <row r="999" spans="2:2">
      <c r="B999" t="s">
        <v>696</v>
      </c>
    </row>
    <row r="1000" spans="2:2">
      <c r="B1000" t="s">
        <v>672</v>
      </c>
    </row>
    <row r="1001" spans="2:2">
      <c r="B1001" t="s">
        <v>663</v>
      </c>
    </row>
    <row r="1002" spans="2:2">
      <c r="B1002" t="s">
        <v>781</v>
      </c>
    </row>
    <row r="1003" spans="2:2">
      <c r="B1003" t="s">
        <v>658</v>
      </c>
    </row>
    <row r="1004" spans="2:2">
      <c r="B1004" t="s">
        <v>675</v>
      </c>
    </row>
    <row r="1005" spans="2:2">
      <c r="B1005" t="s">
        <v>813</v>
      </c>
    </row>
    <row r="1006" spans="2:2">
      <c r="B1006" t="s">
        <v>641</v>
      </c>
    </row>
    <row r="1007" spans="2:2">
      <c r="B1007" t="s">
        <v>642</v>
      </c>
    </row>
    <row r="1008" spans="2:2">
      <c r="B1008" t="s">
        <v>643</v>
      </c>
    </row>
    <row r="1009" spans="2:2">
      <c r="B1009" t="s">
        <v>644</v>
      </c>
    </row>
    <row r="1010" spans="2:2">
      <c r="B1010" t="s">
        <v>645</v>
      </c>
    </row>
    <row r="1011" spans="2:2">
      <c r="B1011" t="s">
        <v>808</v>
      </c>
    </row>
    <row r="1012" spans="2:2">
      <c r="B1012" t="s">
        <v>883</v>
      </c>
    </row>
    <row r="1013" spans="2:2">
      <c r="B1013" t="s">
        <v>647</v>
      </c>
    </row>
    <row r="1014" spans="2:2">
      <c r="B1014" t="s">
        <v>816</v>
      </c>
    </row>
    <row r="1015" spans="2:2">
      <c r="B1015" t="s">
        <v>817</v>
      </c>
    </row>
    <row r="1016" spans="2:2">
      <c r="B1016" t="s">
        <v>805</v>
      </c>
    </row>
    <row r="1017" spans="2:2">
      <c r="B1017" t="s">
        <v>726</v>
      </c>
    </row>
    <row r="1018" spans="2:2">
      <c r="B1018" t="s">
        <v>746</v>
      </c>
    </row>
    <row r="1019" spans="2:2">
      <c r="B1019" t="s">
        <v>632</v>
      </c>
    </row>
    <row r="1020" spans="2:2">
      <c r="B1020" t="s">
        <v>633</v>
      </c>
    </row>
    <row r="1021" spans="2:2">
      <c r="B1021" t="s">
        <v>656</v>
      </c>
    </row>
    <row r="1022" spans="2:2">
      <c r="B1022" t="s">
        <v>662</v>
      </c>
    </row>
    <row r="1023" spans="2:2">
      <c r="B1023" t="s">
        <v>807</v>
      </c>
    </row>
    <row r="1024" spans="2:2">
      <c r="B1024" t="s">
        <v>764</v>
      </c>
    </row>
    <row r="1025" spans="2:2">
      <c r="B1025" t="s">
        <v>665</v>
      </c>
    </row>
    <row r="1026" spans="2:2">
      <c r="B1026" t="s">
        <v>666</v>
      </c>
    </row>
    <row r="1027" spans="2:2">
      <c r="B1027" t="s">
        <v>667</v>
      </c>
    </row>
    <row r="1028" spans="2:2">
      <c r="B1028" t="s">
        <v>668</v>
      </c>
    </row>
    <row r="1029" spans="2:2">
      <c r="B1029" t="s">
        <v>642</v>
      </c>
    </row>
    <row r="1030" spans="2:2">
      <c r="B1030" t="s">
        <v>643</v>
      </c>
    </row>
    <row r="1031" spans="2:2">
      <c r="B1031" t="s">
        <v>644</v>
      </c>
    </row>
    <row r="1032" spans="2:2">
      <c r="B1032" t="s">
        <v>645</v>
      </c>
    </row>
    <row r="1033" spans="2:2">
      <c r="B1033" t="s">
        <v>646</v>
      </c>
    </row>
    <row r="1034" spans="2:2">
      <c r="B1034" t="s">
        <v>881</v>
      </c>
    </row>
    <row r="1035" spans="2:2">
      <c r="B1035" t="s">
        <v>647</v>
      </c>
    </row>
    <row r="1036" spans="2:2">
      <c r="B1036" t="s">
        <v>818</v>
      </c>
    </row>
    <row r="1037" spans="2:2">
      <c r="B1037" t="s">
        <v>819</v>
      </c>
    </row>
    <row r="1038" spans="2:2">
      <c r="B1038" t="s">
        <v>805</v>
      </c>
    </row>
    <row r="1039" spans="2:2">
      <c r="B1039" t="s">
        <v>726</v>
      </c>
    </row>
    <row r="1040" spans="2:2">
      <c r="B1040" t="s">
        <v>746</v>
      </c>
    </row>
    <row r="1041" spans="2:2">
      <c r="B1041" t="s">
        <v>632</v>
      </c>
    </row>
    <row r="1042" spans="2:2">
      <c r="B1042" t="s">
        <v>633</v>
      </c>
    </row>
    <row r="1043" spans="2:2">
      <c r="B1043" t="s">
        <v>669</v>
      </c>
    </row>
    <row r="1044" spans="2:2">
      <c r="B1044" t="s">
        <v>670</v>
      </c>
    </row>
    <row r="1045" spans="2:2">
      <c r="B1045" t="s">
        <v>777</v>
      </c>
    </row>
    <row r="1046" spans="2:2">
      <c r="B1046" t="s">
        <v>657</v>
      </c>
    </row>
    <row r="1047" spans="2:2">
      <c r="B1047" t="s">
        <v>654</v>
      </c>
    </row>
    <row r="1048" spans="2:2">
      <c r="B1048" t="s">
        <v>639</v>
      </c>
    </row>
    <row r="1049" spans="2:2">
      <c r="B1049" t="s">
        <v>640</v>
      </c>
    </row>
    <row r="1050" spans="2:2">
      <c r="B1050" t="s">
        <v>641</v>
      </c>
    </row>
    <row r="1051" spans="2:2">
      <c r="B1051" t="s">
        <v>642</v>
      </c>
    </row>
    <row r="1052" spans="2:2">
      <c r="B1052" t="s">
        <v>643</v>
      </c>
    </row>
    <row r="1053" spans="2:2">
      <c r="B1053" t="s">
        <v>644</v>
      </c>
    </row>
    <row r="1054" spans="2:2">
      <c r="B1054" t="s">
        <v>645</v>
      </c>
    </row>
    <row r="1055" spans="2:2">
      <c r="B1055" t="s">
        <v>646</v>
      </c>
    </row>
    <row r="1056" spans="2:2">
      <c r="B1056" t="s">
        <v>881</v>
      </c>
    </row>
    <row r="1057" spans="2:2">
      <c r="B1057" t="s">
        <v>647</v>
      </c>
    </row>
    <row r="1058" spans="2:2">
      <c r="B1058" t="s">
        <v>820</v>
      </c>
    </row>
    <row r="1059" spans="2:2">
      <c r="B1059" t="s">
        <v>821</v>
      </c>
    </row>
    <row r="1060" spans="2:2">
      <c r="B1060" t="s">
        <v>805</v>
      </c>
    </row>
    <row r="1061" spans="2:2">
      <c r="B1061" t="s">
        <v>726</v>
      </c>
    </row>
    <row r="1062" spans="2:2">
      <c r="B1062" t="s">
        <v>746</v>
      </c>
    </row>
    <row r="1063" spans="2:2">
      <c r="B1063" t="s">
        <v>632</v>
      </c>
    </row>
    <row r="1064" spans="2:2">
      <c r="B1064" t="s">
        <v>633</v>
      </c>
    </row>
    <row r="1065" spans="2:2">
      <c r="B1065" t="s">
        <v>696</v>
      </c>
    </row>
    <row r="1066" spans="2:2">
      <c r="B1066" t="s">
        <v>715</v>
      </c>
    </row>
    <row r="1067" spans="2:2">
      <c r="B1067" t="s">
        <v>663</v>
      </c>
    </row>
    <row r="1068" spans="2:2">
      <c r="B1068" t="s">
        <v>717</v>
      </c>
    </row>
    <row r="1069" spans="2:2">
      <c r="B1069" t="s">
        <v>658</v>
      </c>
    </row>
    <row r="1070" spans="2:2">
      <c r="B1070" t="s">
        <v>718</v>
      </c>
    </row>
    <row r="1071" spans="2:2">
      <c r="B1071" t="s">
        <v>813</v>
      </c>
    </row>
    <row r="1072" spans="2:2">
      <c r="B1072" t="s">
        <v>641</v>
      </c>
    </row>
    <row r="1073" spans="2:2">
      <c r="B1073" t="s">
        <v>642</v>
      </c>
    </row>
    <row r="1074" spans="2:2">
      <c r="B1074" t="s">
        <v>643</v>
      </c>
    </row>
    <row r="1075" spans="2:2">
      <c r="B1075" t="s">
        <v>644</v>
      </c>
    </row>
    <row r="1076" spans="2:2">
      <c r="B1076" t="s">
        <v>645</v>
      </c>
    </row>
    <row r="1077" spans="2:2">
      <c r="B1077" t="s">
        <v>646</v>
      </c>
    </row>
    <row r="1078" spans="2:2">
      <c r="B1078" t="s">
        <v>881</v>
      </c>
    </row>
    <row r="1079" spans="2:2">
      <c r="B1079" t="s">
        <v>647</v>
      </c>
    </row>
    <row r="1080" spans="2:2">
      <c r="B1080" t="s">
        <v>822</v>
      </c>
    </row>
    <row r="1081" spans="2:2">
      <c r="B1081" t="s">
        <v>823</v>
      </c>
    </row>
    <row r="1082" spans="2:2">
      <c r="B1082" t="s">
        <v>805</v>
      </c>
    </row>
    <row r="1083" spans="2:2">
      <c r="B1083" t="s">
        <v>726</v>
      </c>
    </row>
    <row r="1084" spans="2:2">
      <c r="B1084" t="s">
        <v>746</v>
      </c>
    </row>
    <row r="1085" spans="2:2">
      <c r="B1085" t="s">
        <v>632</v>
      </c>
    </row>
    <row r="1086" spans="2:2">
      <c r="B1086" t="s">
        <v>633</v>
      </c>
    </row>
    <row r="1087" spans="2:2">
      <c r="B1087" t="s">
        <v>696</v>
      </c>
    </row>
    <row r="1088" spans="2:2">
      <c r="B1088" t="s">
        <v>672</v>
      </c>
    </row>
    <row r="1089" spans="2:2">
      <c r="B1089" t="s">
        <v>663</v>
      </c>
    </row>
    <row r="1090" spans="2:2">
      <c r="B1090" t="s">
        <v>781</v>
      </c>
    </row>
    <row r="1091" spans="2:2">
      <c r="B1091" t="s">
        <v>658</v>
      </c>
    </row>
    <row r="1092" spans="2:2">
      <c r="B1092" t="s">
        <v>675</v>
      </c>
    </row>
    <row r="1093" spans="2:2">
      <c r="B1093" t="s">
        <v>813</v>
      </c>
    </row>
    <row r="1094" spans="2:2">
      <c r="B1094" t="s">
        <v>641</v>
      </c>
    </row>
    <row r="1095" spans="2:2">
      <c r="B1095" t="s">
        <v>642</v>
      </c>
    </row>
    <row r="1096" spans="2:2">
      <c r="B1096" t="s">
        <v>643</v>
      </c>
    </row>
    <row r="1097" spans="2:2">
      <c r="B1097" t="s">
        <v>644</v>
      </c>
    </row>
    <row r="1098" spans="2:2">
      <c r="B1098" t="s">
        <v>645</v>
      </c>
    </row>
    <row r="1099" spans="2:2">
      <c r="B1099" t="s">
        <v>646</v>
      </c>
    </row>
    <row r="1100" spans="2:2">
      <c r="B1100" t="s">
        <v>881</v>
      </c>
    </row>
    <row r="1101" spans="2:2">
      <c r="B1101" t="s">
        <v>647</v>
      </c>
    </row>
    <row r="1102" spans="2:2">
      <c r="B1102" t="s">
        <v>824</v>
      </c>
    </row>
    <row r="1103" spans="2:2">
      <c r="B1103" t="s">
        <v>825</v>
      </c>
    </row>
    <row r="1104" spans="2:2">
      <c r="B1104" t="s">
        <v>805</v>
      </c>
    </row>
    <row r="1105" spans="2:2">
      <c r="B1105" t="s">
        <v>826</v>
      </c>
    </row>
    <row r="1106" spans="2:2">
      <c r="B1106" t="s">
        <v>661</v>
      </c>
    </row>
    <row r="1107" spans="2:2">
      <c r="B1107" t="s">
        <v>632</v>
      </c>
    </row>
    <row r="1108" spans="2:2">
      <c r="B1108" t="s">
        <v>633</v>
      </c>
    </row>
    <row r="1109" spans="2:2">
      <c r="B1109" t="s">
        <v>656</v>
      </c>
    </row>
    <row r="1110" spans="2:2">
      <c r="B1110" t="s">
        <v>662</v>
      </c>
    </row>
    <row r="1111" spans="2:2">
      <c r="B1111" t="s">
        <v>807</v>
      </c>
    </row>
    <row r="1112" spans="2:2">
      <c r="B1112" t="s">
        <v>764</v>
      </c>
    </row>
    <row r="1113" spans="2:2">
      <c r="B1113" t="s">
        <v>665</v>
      </c>
    </row>
    <row r="1114" spans="2:2">
      <c r="B1114" t="s">
        <v>666</v>
      </c>
    </row>
    <row r="1115" spans="2:2">
      <c r="B1115" t="s">
        <v>667</v>
      </c>
    </row>
    <row r="1116" spans="2:2">
      <c r="B1116" t="s">
        <v>668</v>
      </c>
    </row>
    <row r="1117" spans="2:2">
      <c r="B1117" t="s">
        <v>642</v>
      </c>
    </row>
    <row r="1118" spans="2:2">
      <c r="B1118" t="s">
        <v>643</v>
      </c>
    </row>
    <row r="1119" spans="2:2">
      <c r="B1119" t="s">
        <v>644</v>
      </c>
    </row>
    <row r="1120" spans="2:2">
      <c r="B1120" t="s">
        <v>645</v>
      </c>
    </row>
    <row r="1121" spans="2:2">
      <c r="B1121" t="s">
        <v>646</v>
      </c>
    </row>
    <row r="1122" spans="2:2">
      <c r="B1122" t="s">
        <v>881</v>
      </c>
    </row>
    <row r="1123" spans="2:2">
      <c r="B1123" t="s">
        <v>647</v>
      </c>
    </row>
    <row r="1124" spans="2:2">
      <c r="B1124" t="s">
        <v>827</v>
      </c>
    </row>
    <row r="1125" spans="2:2">
      <c r="B1125" t="s">
        <v>828</v>
      </c>
    </row>
    <row r="1126" spans="2:2">
      <c r="B1126" t="s">
        <v>805</v>
      </c>
    </row>
    <row r="1127" spans="2:2">
      <c r="B1127" t="s">
        <v>826</v>
      </c>
    </row>
    <row r="1128" spans="2:2">
      <c r="B1128" t="s">
        <v>661</v>
      </c>
    </row>
    <row r="1129" spans="2:2">
      <c r="B1129" t="s">
        <v>632</v>
      </c>
    </row>
    <row r="1130" spans="2:2">
      <c r="B1130" t="s">
        <v>633</v>
      </c>
    </row>
    <row r="1131" spans="2:2">
      <c r="B1131" t="s">
        <v>669</v>
      </c>
    </row>
    <row r="1132" spans="2:2">
      <c r="B1132" t="s">
        <v>670</v>
      </c>
    </row>
    <row r="1133" spans="2:2">
      <c r="B1133" t="s">
        <v>777</v>
      </c>
    </row>
    <row r="1134" spans="2:2">
      <c r="B1134" t="s">
        <v>657</v>
      </c>
    </row>
    <row r="1135" spans="2:2">
      <c r="B1135" t="s">
        <v>654</v>
      </c>
    </row>
    <row r="1136" spans="2:2">
      <c r="B1136" t="s">
        <v>639</v>
      </c>
    </row>
    <row r="1137" spans="2:2">
      <c r="B1137" t="s">
        <v>640</v>
      </c>
    </row>
    <row r="1138" spans="2:2">
      <c r="B1138" t="s">
        <v>641</v>
      </c>
    </row>
    <row r="1139" spans="2:2">
      <c r="B1139" t="s">
        <v>642</v>
      </c>
    </row>
    <row r="1140" spans="2:2">
      <c r="B1140" t="s">
        <v>643</v>
      </c>
    </row>
    <row r="1141" spans="2:2">
      <c r="B1141" t="s">
        <v>644</v>
      </c>
    </row>
    <row r="1142" spans="2:2">
      <c r="B1142" t="s">
        <v>645</v>
      </c>
    </row>
    <row r="1143" spans="2:2">
      <c r="B1143" t="s">
        <v>646</v>
      </c>
    </row>
    <row r="1144" spans="2:2">
      <c r="B1144" t="s">
        <v>881</v>
      </c>
    </row>
    <row r="1145" spans="2:2">
      <c r="B1145" t="s">
        <v>647</v>
      </c>
    </row>
    <row r="1146" spans="2:2">
      <c r="B1146" t="s">
        <v>829</v>
      </c>
    </row>
    <row r="1147" spans="2:2">
      <c r="B1147" t="s">
        <v>830</v>
      </c>
    </row>
    <row r="1148" spans="2:2">
      <c r="B1148" t="s">
        <v>805</v>
      </c>
    </row>
    <row r="1149" spans="2:2">
      <c r="B1149" t="s">
        <v>826</v>
      </c>
    </row>
    <row r="1150" spans="2:2">
      <c r="B1150" t="s">
        <v>661</v>
      </c>
    </row>
    <row r="1151" spans="2:2">
      <c r="B1151" t="s">
        <v>632</v>
      </c>
    </row>
    <row r="1152" spans="2:2">
      <c r="B1152" t="s">
        <v>633</v>
      </c>
    </row>
    <row r="1153" spans="2:2">
      <c r="B1153" t="s">
        <v>696</v>
      </c>
    </row>
    <row r="1154" spans="2:2">
      <c r="B1154" t="s">
        <v>715</v>
      </c>
    </row>
    <row r="1155" spans="2:2">
      <c r="B1155" t="s">
        <v>663</v>
      </c>
    </row>
    <row r="1156" spans="2:2">
      <c r="B1156" t="s">
        <v>717</v>
      </c>
    </row>
    <row r="1157" spans="2:2">
      <c r="B1157" t="s">
        <v>658</v>
      </c>
    </row>
    <row r="1158" spans="2:2">
      <c r="B1158" t="s">
        <v>718</v>
      </c>
    </row>
    <row r="1159" spans="2:2">
      <c r="B1159" t="s">
        <v>813</v>
      </c>
    </row>
    <row r="1160" spans="2:2">
      <c r="B1160" t="s">
        <v>641</v>
      </c>
    </row>
    <row r="1161" spans="2:2">
      <c r="B1161" t="s">
        <v>642</v>
      </c>
    </row>
    <row r="1162" spans="2:2">
      <c r="B1162" t="s">
        <v>643</v>
      </c>
    </row>
    <row r="1163" spans="2:2">
      <c r="B1163" t="s">
        <v>644</v>
      </c>
    </row>
    <row r="1164" spans="2:2">
      <c r="B1164" t="s">
        <v>645</v>
      </c>
    </row>
    <row r="1165" spans="2:2">
      <c r="B1165" t="s">
        <v>646</v>
      </c>
    </row>
    <row r="1166" spans="2:2">
      <c r="B1166" t="s">
        <v>881</v>
      </c>
    </row>
    <row r="1167" spans="2:2">
      <c r="B1167" t="s">
        <v>647</v>
      </c>
    </row>
    <row r="1168" spans="2:2">
      <c r="B1168" t="s">
        <v>831</v>
      </c>
    </row>
    <row r="1169" spans="2:2">
      <c r="B1169" t="s">
        <v>832</v>
      </c>
    </row>
    <row r="1170" spans="2:2">
      <c r="B1170" t="s">
        <v>805</v>
      </c>
    </row>
    <row r="1171" spans="2:2">
      <c r="B1171" t="s">
        <v>826</v>
      </c>
    </row>
    <row r="1172" spans="2:2">
      <c r="B1172" t="s">
        <v>661</v>
      </c>
    </row>
    <row r="1173" spans="2:2">
      <c r="B1173" t="s">
        <v>632</v>
      </c>
    </row>
    <row r="1174" spans="2:2">
      <c r="B1174" t="s">
        <v>633</v>
      </c>
    </row>
    <row r="1175" spans="2:2">
      <c r="B1175" t="s">
        <v>696</v>
      </c>
    </row>
    <row r="1176" spans="2:2">
      <c r="B1176" t="s">
        <v>672</v>
      </c>
    </row>
    <row r="1177" spans="2:2">
      <c r="B1177" t="s">
        <v>663</v>
      </c>
    </row>
    <row r="1178" spans="2:2">
      <c r="B1178" t="s">
        <v>781</v>
      </c>
    </row>
    <row r="1179" spans="2:2">
      <c r="B1179" t="s">
        <v>658</v>
      </c>
    </row>
    <row r="1180" spans="2:2">
      <c r="B1180" t="s">
        <v>675</v>
      </c>
    </row>
    <row r="1181" spans="2:2">
      <c r="B1181" t="s">
        <v>813</v>
      </c>
    </row>
    <row r="1182" spans="2:2">
      <c r="B1182" t="s">
        <v>641</v>
      </c>
    </row>
    <row r="1183" spans="2:2">
      <c r="B1183" t="s">
        <v>642</v>
      </c>
    </row>
    <row r="1184" spans="2:2">
      <c r="B1184" t="s">
        <v>643</v>
      </c>
    </row>
    <row r="1185" spans="2:2">
      <c r="B1185" t="s">
        <v>644</v>
      </c>
    </row>
    <row r="1186" spans="2:2">
      <c r="B1186" t="s">
        <v>645</v>
      </c>
    </row>
    <row r="1187" spans="2:2">
      <c r="B1187" t="s">
        <v>646</v>
      </c>
    </row>
    <row r="1188" spans="2:2">
      <c r="B1188" t="s">
        <v>881</v>
      </c>
    </row>
    <row r="1189" spans="2:2">
      <c r="B1189" t="s">
        <v>647</v>
      </c>
    </row>
    <row r="1190" spans="2:2">
      <c r="B1190" t="s">
        <v>833</v>
      </c>
    </row>
    <row r="1191" spans="2:2">
      <c r="B1191" t="s">
        <v>834</v>
      </c>
    </row>
    <row r="1192" spans="2:2">
      <c r="B1192" t="s">
        <v>805</v>
      </c>
    </row>
    <row r="1193" spans="2:2">
      <c r="B1193" t="s">
        <v>835</v>
      </c>
    </row>
    <row r="1194" spans="2:2">
      <c r="B1194" t="s">
        <v>792</v>
      </c>
    </row>
    <row r="1195" spans="2:2">
      <c r="B1195" t="s">
        <v>632</v>
      </c>
    </row>
    <row r="1196" spans="2:2">
      <c r="B1196" t="s">
        <v>633</v>
      </c>
    </row>
    <row r="1197" spans="2:2">
      <c r="B1197" t="s">
        <v>656</v>
      </c>
    </row>
    <row r="1198" spans="2:2">
      <c r="B1198" t="s">
        <v>662</v>
      </c>
    </row>
    <row r="1199" spans="2:2">
      <c r="B1199" t="s">
        <v>807</v>
      </c>
    </row>
    <row r="1200" spans="2:2">
      <c r="B1200" t="s">
        <v>764</v>
      </c>
    </row>
    <row r="1201" spans="2:2">
      <c r="B1201" t="s">
        <v>665</v>
      </c>
    </row>
    <row r="1202" spans="2:2">
      <c r="B1202" t="s">
        <v>666</v>
      </c>
    </row>
    <row r="1203" spans="2:2">
      <c r="B1203" t="s">
        <v>667</v>
      </c>
    </row>
    <row r="1204" spans="2:2">
      <c r="B1204" t="s">
        <v>668</v>
      </c>
    </row>
    <row r="1205" spans="2:2">
      <c r="B1205" t="s">
        <v>642</v>
      </c>
    </row>
    <row r="1206" spans="2:2">
      <c r="B1206" t="s">
        <v>643</v>
      </c>
    </row>
    <row r="1207" spans="2:2">
      <c r="B1207" t="s">
        <v>644</v>
      </c>
    </row>
    <row r="1208" spans="2:2">
      <c r="B1208" t="s">
        <v>645</v>
      </c>
    </row>
    <row r="1209" spans="2:2">
      <c r="B1209" t="s">
        <v>646</v>
      </c>
    </row>
    <row r="1210" spans="2:2">
      <c r="B1210" t="s">
        <v>881</v>
      </c>
    </row>
    <row r="1211" spans="2:2">
      <c r="B1211" t="s">
        <v>647</v>
      </c>
    </row>
    <row r="1212" spans="2:2">
      <c r="B1212" t="s">
        <v>836</v>
      </c>
    </row>
    <row r="1213" spans="2:2">
      <c r="B1213" t="s">
        <v>837</v>
      </c>
    </row>
    <row r="1214" spans="2:2">
      <c r="B1214" t="s">
        <v>805</v>
      </c>
    </row>
    <row r="1215" spans="2:2">
      <c r="B1215" t="s">
        <v>835</v>
      </c>
    </row>
    <row r="1216" spans="2:2">
      <c r="B1216" t="s">
        <v>792</v>
      </c>
    </row>
    <row r="1217" spans="2:2">
      <c r="B1217" t="s">
        <v>632</v>
      </c>
    </row>
    <row r="1218" spans="2:2">
      <c r="B1218" t="s">
        <v>633</v>
      </c>
    </row>
    <row r="1219" spans="2:2">
      <c r="B1219" t="s">
        <v>669</v>
      </c>
    </row>
    <row r="1220" spans="2:2">
      <c r="B1220" t="s">
        <v>670</v>
      </c>
    </row>
    <row r="1221" spans="2:2">
      <c r="B1221" t="s">
        <v>777</v>
      </c>
    </row>
    <row r="1222" spans="2:2">
      <c r="B1222" t="s">
        <v>657</v>
      </c>
    </row>
    <row r="1223" spans="2:2">
      <c r="B1223" t="s">
        <v>654</v>
      </c>
    </row>
    <row r="1224" spans="2:2">
      <c r="B1224" t="s">
        <v>639</v>
      </c>
    </row>
    <row r="1225" spans="2:2">
      <c r="B1225" t="s">
        <v>640</v>
      </c>
    </row>
    <row r="1226" spans="2:2">
      <c r="B1226" t="s">
        <v>641</v>
      </c>
    </row>
    <row r="1227" spans="2:2">
      <c r="B1227" t="s">
        <v>642</v>
      </c>
    </row>
    <row r="1228" spans="2:2">
      <c r="B1228" t="s">
        <v>643</v>
      </c>
    </row>
    <row r="1229" spans="2:2">
      <c r="B1229" t="s">
        <v>644</v>
      </c>
    </row>
    <row r="1230" spans="2:2">
      <c r="B1230" t="s">
        <v>645</v>
      </c>
    </row>
    <row r="1231" spans="2:2">
      <c r="B1231" t="s">
        <v>646</v>
      </c>
    </row>
    <row r="1232" spans="2:2">
      <c r="B1232" t="s">
        <v>881</v>
      </c>
    </row>
    <row r="1233" spans="2:2">
      <c r="B1233" t="s">
        <v>647</v>
      </c>
    </row>
    <row r="1234" spans="2:2">
      <c r="B1234" t="s">
        <v>838</v>
      </c>
    </row>
    <row r="1235" spans="2:2">
      <c r="B1235" t="s">
        <v>839</v>
      </c>
    </row>
    <row r="1236" spans="2:2">
      <c r="B1236" t="s">
        <v>805</v>
      </c>
    </row>
    <row r="1237" spans="2:2">
      <c r="B1237" t="s">
        <v>835</v>
      </c>
    </row>
    <row r="1238" spans="2:2">
      <c r="B1238" t="s">
        <v>792</v>
      </c>
    </row>
    <row r="1239" spans="2:2">
      <c r="B1239" t="s">
        <v>632</v>
      </c>
    </row>
    <row r="1240" spans="2:2">
      <c r="B1240" t="s">
        <v>633</v>
      </c>
    </row>
    <row r="1241" spans="2:2">
      <c r="B1241" t="s">
        <v>696</v>
      </c>
    </row>
    <row r="1242" spans="2:2">
      <c r="B1242" t="s">
        <v>715</v>
      </c>
    </row>
    <row r="1243" spans="2:2">
      <c r="B1243" t="s">
        <v>663</v>
      </c>
    </row>
    <row r="1244" spans="2:2">
      <c r="B1244" t="s">
        <v>717</v>
      </c>
    </row>
    <row r="1245" spans="2:2">
      <c r="B1245" t="s">
        <v>658</v>
      </c>
    </row>
    <row r="1246" spans="2:2">
      <c r="B1246" t="s">
        <v>718</v>
      </c>
    </row>
    <row r="1247" spans="2:2">
      <c r="B1247" t="s">
        <v>813</v>
      </c>
    </row>
    <row r="1248" spans="2:2">
      <c r="B1248" t="s">
        <v>641</v>
      </c>
    </row>
    <row r="1249" spans="2:2">
      <c r="B1249" t="s">
        <v>642</v>
      </c>
    </row>
    <row r="1250" spans="2:2">
      <c r="B1250" t="s">
        <v>643</v>
      </c>
    </row>
    <row r="1251" spans="2:2">
      <c r="B1251" t="s">
        <v>644</v>
      </c>
    </row>
    <row r="1252" spans="2:2">
      <c r="B1252" t="s">
        <v>645</v>
      </c>
    </row>
    <row r="1253" spans="2:2">
      <c r="B1253" t="s">
        <v>646</v>
      </c>
    </row>
    <row r="1254" spans="2:2">
      <c r="B1254" t="s">
        <v>881</v>
      </c>
    </row>
    <row r="1255" spans="2:2">
      <c r="B1255" t="s">
        <v>647</v>
      </c>
    </row>
    <row r="1256" spans="2:2">
      <c r="B1256" t="s">
        <v>840</v>
      </c>
    </row>
    <row r="1257" spans="2:2">
      <c r="B1257" t="s">
        <v>841</v>
      </c>
    </row>
    <row r="1258" spans="2:2">
      <c r="B1258" t="s">
        <v>805</v>
      </c>
    </row>
    <row r="1259" spans="2:2">
      <c r="B1259" t="s">
        <v>835</v>
      </c>
    </row>
    <row r="1260" spans="2:2">
      <c r="B1260" t="s">
        <v>792</v>
      </c>
    </row>
    <row r="1261" spans="2:2">
      <c r="B1261" t="s">
        <v>632</v>
      </c>
    </row>
    <row r="1262" spans="2:2">
      <c r="B1262" t="s">
        <v>633</v>
      </c>
    </row>
    <row r="1263" spans="2:2">
      <c r="B1263" t="s">
        <v>696</v>
      </c>
    </row>
    <row r="1264" spans="2:2">
      <c r="B1264" t="s">
        <v>672</v>
      </c>
    </row>
    <row r="1265" spans="2:2">
      <c r="B1265" t="s">
        <v>663</v>
      </c>
    </row>
    <row r="1266" spans="2:2">
      <c r="B1266" t="s">
        <v>781</v>
      </c>
    </row>
    <row r="1267" spans="2:2">
      <c r="B1267" t="s">
        <v>658</v>
      </c>
    </row>
    <row r="1268" spans="2:2">
      <c r="B1268" t="s">
        <v>675</v>
      </c>
    </row>
    <row r="1269" spans="2:2">
      <c r="B1269" t="s">
        <v>813</v>
      </c>
    </row>
    <row r="1270" spans="2:2">
      <c r="B1270" t="s">
        <v>641</v>
      </c>
    </row>
    <row r="1271" spans="2:2">
      <c r="B1271" t="s">
        <v>642</v>
      </c>
    </row>
    <row r="1272" spans="2:2">
      <c r="B1272" t="s">
        <v>643</v>
      </c>
    </row>
    <row r="1273" spans="2:2">
      <c r="B1273" t="s">
        <v>644</v>
      </c>
    </row>
    <row r="1274" spans="2:2">
      <c r="B1274" t="s">
        <v>645</v>
      </c>
    </row>
    <row r="1275" spans="2:2">
      <c r="B1275" t="s">
        <v>646</v>
      </c>
    </row>
    <row r="1276" spans="2:2">
      <c r="B1276" t="s">
        <v>881</v>
      </c>
    </row>
    <row r="1277" spans="2:2">
      <c r="B1277" t="s">
        <v>647</v>
      </c>
    </row>
    <row r="1278" spans="2:2">
      <c r="B1278" t="s">
        <v>842</v>
      </c>
    </row>
    <row r="1279" spans="2:2">
      <c r="B1279" t="s">
        <v>843</v>
      </c>
    </row>
    <row r="1280" spans="2:2">
      <c r="B1280" t="s">
        <v>805</v>
      </c>
    </row>
    <row r="1281" spans="2:2">
      <c r="B1281" t="s">
        <v>844</v>
      </c>
    </row>
    <row r="1282" spans="2:2">
      <c r="B1282" t="s">
        <v>845</v>
      </c>
    </row>
    <row r="1283" spans="2:2">
      <c r="B1283" t="s">
        <v>632</v>
      </c>
    </row>
    <row r="1284" spans="2:2">
      <c r="B1284" t="s">
        <v>633</v>
      </c>
    </row>
    <row r="1285" spans="2:2">
      <c r="B1285" t="s">
        <v>656</v>
      </c>
    </row>
    <row r="1286" spans="2:2">
      <c r="B1286" t="s">
        <v>662</v>
      </c>
    </row>
    <row r="1287" spans="2:2">
      <c r="B1287" t="s">
        <v>807</v>
      </c>
    </row>
    <row r="1288" spans="2:2">
      <c r="B1288" t="s">
        <v>764</v>
      </c>
    </row>
    <row r="1289" spans="2:2">
      <c r="B1289" t="s">
        <v>665</v>
      </c>
    </row>
    <row r="1290" spans="2:2">
      <c r="B1290" t="s">
        <v>666</v>
      </c>
    </row>
    <row r="1291" spans="2:2">
      <c r="B1291" t="s">
        <v>667</v>
      </c>
    </row>
    <row r="1292" spans="2:2">
      <c r="B1292" t="s">
        <v>668</v>
      </c>
    </row>
    <row r="1293" spans="2:2">
      <c r="B1293" t="s">
        <v>642</v>
      </c>
    </row>
    <row r="1294" spans="2:2">
      <c r="B1294" t="s">
        <v>643</v>
      </c>
    </row>
    <row r="1295" spans="2:2">
      <c r="B1295" t="s">
        <v>644</v>
      </c>
    </row>
    <row r="1296" spans="2:2">
      <c r="B1296" t="s">
        <v>645</v>
      </c>
    </row>
    <row r="1297" spans="2:2">
      <c r="B1297" t="s">
        <v>646</v>
      </c>
    </row>
    <row r="1298" spans="2:2">
      <c r="B1298" t="s">
        <v>881</v>
      </c>
    </row>
    <row r="1299" spans="2:2">
      <c r="B1299" t="s">
        <v>647</v>
      </c>
    </row>
    <row r="1300" spans="2:2">
      <c r="B1300" t="s">
        <v>846</v>
      </c>
    </row>
    <row r="1301" spans="2:2">
      <c r="B1301" t="s">
        <v>847</v>
      </c>
    </row>
    <row r="1302" spans="2:2">
      <c r="B1302" t="s">
        <v>805</v>
      </c>
    </row>
    <row r="1303" spans="2:2">
      <c r="B1303" t="s">
        <v>844</v>
      </c>
    </row>
    <row r="1304" spans="2:2">
      <c r="B1304" t="s">
        <v>845</v>
      </c>
    </row>
    <row r="1305" spans="2:2">
      <c r="B1305" t="s">
        <v>632</v>
      </c>
    </row>
    <row r="1306" spans="2:2">
      <c r="B1306" t="s">
        <v>633</v>
      </c>
    </row>
    <row r="1307" spans="2:2">
      <c r="B1307" t="s">
        <v>669</v>
      </c>
    </row>
    <row r="1308" spans="2:2">
      <c r="B1308" t="s">
        <v>670</v>
      </c>
    </row>
    <row r="1309" spans="2:2">
      <c r="B1309" t="s">
        <v>777</v>
      </c>
    </row>
    <row r="1310" spans="2:2">
      <c r="B1310" t="s">
        <v>657</v>
      </c>
    </row>
    <row r="1311" spans="2:2">
      <c r="B1311" t="s">
        <v>654</v>
      </c>
    </row>
    <row r="1312" spans="2:2">
      <c r="B1312" t="s">
        <v>639</v>
      </c>
    </row>
    <row r="1313" spans="2:2">
      <c r="B1313" t="s">
        <v>640</v>
      </c>
    </row>
    <row r="1314" spans="2:2">
      <c r="B1314" t="s">
        <v>641</v>
      </c>
    </row>
    <row r="1315" spans="2:2">
      <c r="B1315" t="s">
        <v>642</v>
      </c>
    </row>
    <row r="1316" spans="2:2">
      <c r="B1316" t="s">
        <v>643</v>
      </c>
    </row>
    <row r="1317" spans="2:2">
      <c r="B1317" t="s">
        <v>644</v>
      </c>
    </row>
    <row r="1318" spans="2:2">
      <c r="B1318" t="s">
        <v>645</v>
      </c>
    </row>
    <row r="1319" spans="2:2">
      <c r="B1319" t="s">
        <v>646</v>
      </c>
    </row>
    <row r="1320" spans="2:2">
      <c r="B1320" t="s">
        <v>881</v>
      </c>
    </row>
    <row r="1321" spans="2:2">
      <c r="B1321" t="s">
        <v>647</v>
      </c>
    </row>
    <row r="1322" spans="2:2">
      <c r="B1322" t="s">
        <v>848</v>
      </c>
    </row>
    <row r="1323" spans="2:2">
      <c r="B1323" t="s">
        <v>849</v>
      </c>
    </row>
    <row r="1324" spans="2:2">
      <c r="B1324" t="s">
        <v>805</v>
      </c>
    </row>
    <row r="1325" spans="2:2">
      <c r="B1325" t="s">
        <v>844</v>
      </c>
    </row>
    <row r="1326" spans="2:2">
      <c r="B1326" t="s">
        <v>845</v>
      </c>
    </row>
    <row r="1327" spans="2:2">
      <c r="B1327" t="s">
        <v>632</v>
      </c>
    </row>
    <row r="1328" spans="2:2">
      <c r="B1328" t="s">
        <v>633</v>
      </c>
    </row>
    <row r="1329" spans="2:2">
      <c r="B1329" t="s">
        <v>696</v>
      </c>
    </row>
    <row r="1330" spans="2:2">
      <c r="B1330" t="s">
        <v>715</v>
      </c>
    </row>
    <row r="1331" spans="2:2">
      <c r="B1331" t="s">
        <v>663</v>
      </c>
    </row>
    <row r="1332" spans="2:2">
      <c r="B1332" t="s">
        <v>717</v>
      </c>
    </row>
    <row r="1333" spans="2:2">
      <c r="B1333" t="s">
        <v>658</v>
      </c>
    </row>
    <row r="1334" spans="2:2">
      <c r="B1334" t="s">
        <v>718</v>
      </c>
    </row>
    <row r="1335" spans="2:2">
      <c r="B1335" t="s">
        <v>813</v>
      </c>
    </row>
    <row r="1336" spans="2:2">
      <c r="B1336" t="s">
        <v>641</v>
      </c>
    </row>
    <row r="1337" spans="2:2">
      <c r="B1337" t="s">
        <v>642</v>
      </c>
    </row>
    <row r="1338" spans="2:2">
      <c r="B1338" t="s">
        <v>643</v>
      </c>
    </row>
    <row r="1339" spans="2:2">
      <c r="B1339" t="s">
        <v>644</v>
      </c>
    </row>
    <row r="1340" spans="2:2">
      <c r="B1340" t="s">
        <v>645</v>
      </c>
    </row>
    <row r="1341" spans="2:2">
      <c r="B1341" t="s">
        <v>646</v>
      </c>
    </row>
    <row r="1342" spans="2:2">
      <c r="B1342" t="s">
        <v>881</v>
      </c>
    </row>
    <row r="1343" spans="2:2">
      <c r="B1343" t="s">
        <v>647</v>
      </c>
    </row>
    <row r="1344" spans="2:2">
      <c r="B1344" t="s">
        <v>850</v>
      </c>
    </row>
    <row r="1345" spans="2:2">
      <c r="B1345" t="s">
        <v>851</v>
      </c>
    </row>
    <row r="1346" spans="2:2">
      <c r="B1346" t="s">
        <v>805</v>
      </c>
    </row>
    <row r="1347" spans="2:2">
      <c r="B1347" t="s">
        <v>844</v>
      </c>
    </row>
    <row r="1348" spans="2:2">
      <c r="B1348" t="s">
        <v>845</v>
      </c>
    </row>
    <row r="1349" spans="2:2">
      <c r="B1349" t="s">
        <v>632</v>
      </c>
    </row>
    <row r="1350" spans="2:2">
      <c r="B1350" t="s">
        <v>633</v>
      </c>
    </row>
    <row r="1351" spans="2:2">
      <c r="B1351" t="s">
        <v>696</v>
      </c>
    </row>
    <row r="1352" spans="2:2">
      <c r="B1352" t="s">
        <v>672</v>
      </c>
    </row>
    <row r="1353" spans="2:2">
      <c r="B1353" t="s">
        <v>663</v>
      </c>
    </row>
    <row r="1354" spans="2:2">
      <c r="B1354" t="s">
        <v>781</v>
      </c>
    </row>
    <row r="1355" spans="2:2">
      <c r="B1355" t="s">
        <v>658</v>
      </c>
    </row>
    <row r="1356" spans="2:2">
      <c r="B1356" t="s">
        <v>675</v>
      </c>
    </row>
    <row r="1357" spans="2:2">
      <c r="B1357" t="s">
        <v>813</v>
      </c>
    </row>
    <row r="1358" spans="2:2">
      <c r="B1358" t="s">
        <v>641</v>
      </c>
    </row>
    <row r="1359" spans="2:2">
      <c r="B1359" t="s">
        <v>642</v>
      </c>
    </row>
    <row r="1360" spans="2:2">
      <c r="B1360" t="s">
        <v>643</v>
      </c>
    </row>
    <row r="1361" spans="2:2">
      <c r="B1361" t="s">
        <v>644</v>
      </c>
    </row>
    <row r="1362" spans="2:2">
      <c r="B1362" t="s">
        <v>645</v>
      </c>
    </row>
    <row r="1363" spans="2:2">
      <c r="B1363" t="s">
        <v>646</v>
      </c>
    </row>
    <row r="1364" spans="2:2">
      <c r="B1364" t="s">
        <v>881</v>
      </c>
    </row>
    <row r="1365" spans="2:2">
      <c r="B1365" t="s">
        <v>647</v>
      </c>
    </row>
    <row r="1366" spans="2:2">
      <c r="B1366" t="s">
        <v>852</v>
      </c>
    </row>
    <row r="1367" spans="2:2">
      <c r="B1367" t="s">
        <v>853</v>
      </c>
    </row>
    <row r="1368" spans="2:2">
      <c r="B1368" t="s">
        <v>805</v>
      </c>
    </row>
    <row r="1369" spans="2:2">
      <c r="B1369" t="s">
        <v>854</v>
      </c>
    </row>
    <row r="1370" spans="2:2">
      <c r="B1370" t="s">
        <v>855</v>
      </c>
    </row>
    <row r="1371" spans="2:2">
      <c r="B1371" t="s">
        <v>632</v>
      </c>
    </row>
    <row r="1372" spans="2:2">
      <c r="B1372" t="s">
        <v>633</v>
      </c>
    </row>
    <row r="1373" spans="2:2">
      <c r="B1373" t="s">
        <v>656</v>
      </c>
    </row>
    <row r="1374" spans="2:2">
      <c r="B1374" t="s">
        <v>662</v>
      </c>
    </row>
    <row r="1375" spans="2:2">
      <c r="B1375" t="s">
        <v>807</v>
      </c>
    </row>
    <row r="1376" spans="2:2">
      <c r="B1376" t="s">
        <v>764</v>
      </c>
    </row>
    <row r="1377" spans="2:2">
      <c r="B1377" t="s">
        <v>665</v>
      </c>
    </row>
    <row r="1378" spans="2:2">
      <c r="B1378" t="s">
        <v>666</v>
      </c>
    </row>
    <row r="1379" spans="2:2">
      <c r="B1379" t="s">
        <v>667</v>
      </c>
    </row>
    <row r="1380" spans="2:2">
      <c r="B1380" t="s">
        <v>668</v>
      </c>
    </row>
    <row r="1381" spans="2:2">
      <c r="B1381" t="s">
        <v>642</v>
      </c>
    </row>
    <row r="1382" spans="2:2">
      <c r="B1382" t="s">
        <v>643</v>
      </c>
    </row>
    <row r="1383" spans="2:2">
      <c r="B1383" t="s">
        <v>644</v>
      </c>
    </row>
    <row r="1384" spans="2:2">
      <c r="B1384" t="s">
        <v>645</v>
      </c>
    </row>
    <row r="1385" spans="2:2">
      <c r="B1385" t="s">
        <v>646</v>
      </c>
    </row>
    <row r="1386" spans="2:2">
      <c r="B1386" t="s">
        <v>881</v>
      </c>
    </row>
    <row r="1387" spans="2:2">
      <c r="B1387" t="s">
        <v>647</v>
      </c>
    </row>
    <row r="1388" spans="2:2">
      <c r="B1388" t="s">
        <v>856</v>
      </c>
    </row>
    <row r="1389" spans="2:2">
      <c r="B1389" t="s">
        <v>857</v>
      </c>
    </row>
    <row r="1390" spans="2:2">
      <c r="B1390" t="s">
        <v>805</v>
      </c>
    </row>
    <row r="1391" spans="2:2">
      <c r="B1391" t="s">
        <v>854</v>
      </c>
    </row>
    <row r="1392" spans="2:2">
      <c r="B1392" t="s">
        <v>855</v>
      </c>
    </row>
    <row r="1393" spans="2:2">
      <c r="B1393" t="s">
        <v>632</v>
      </c>
    </row>
    <row r="1394" spans="2:2">
      <c r="B1394" t="s">
        <v>633</v>
      </c>
    </row>
    <row r="1395" spans="2:2">
      <c r="B1395" t="s">
        <v>669</v>
      </c>
    </row>
    <row r="1396" spans="2:2">
      <c r="B1396" t="s">
        <v>670</v>
      </c>
    </row>
    <row r="1397" spans="2:2">
      <c r="B1397" t="s">
        <v>777</v>
      </c>
    </row>
    <row r="1398" spans="2:2">
      <c r="B1398" t="s">
        <v>657</v>
      </c>
    </row>
    <row r="1399" spans="2:2">
      <c r="B1399" t="s">
        <v>654</v>
      </c>
    </row>
    <row r="1400" spans="2:2">
      <c r="B1400" t="s">
        <v>639</v>
      </c>
    </row>
    <row r="1401" spans="2:2">
      <c r="B1401" t="s">
        <v>640</v>
      </c>
    </row>
    <row r="1402" spans="2:2">
      <c r="B1402" t="s">
        <v>641</v>
      </c>
    </row>
    <row r="1403" spans="2:2">
      <c r="B1403" t="s">
        <v>642</v>
      </c>
    </row>
    <row r="1404" spans="2:2">
      <c r="B1404" t="s">
        <v>643</v>
      </c>
    </row>
    <row r="1405" spans="2:2">
      <c r="B1405" t="s">
        <v>644</v>
      </c>
    </row>
    <row r="1406" spans="2:2">
      <c r="B1406" t="s">
        <v>645</v>
      </c>
    </row>
    <row r="1407" spans="2:2">
      <c r="B1407" t="s">
        <v>646</v>
      </c>
    </row>
    <row r="1408" spans="2:2">
      <c r="B1408" t="s">
        <v>881</v>
      </c>
    </row>
    <row r="1409" spans="2:2">
      <c r="B1409" t="s">
        <v>647</v>
      </c>
    </row>
    <row r="1410" spans="2:2">
      <c r="B1410" t="s">
        <v>858</v>
      </c>
    </row>
    <row r="1411" spans="2:2">
      <c r="B1411" t="s">
        <v>859</v>
      </c>
    </row>
    <row r="1412" spans="2:2">
      <c r="B1412" t="s">
        <v>805</v>
      </c>
    </row>
    <row r="1413" spans="2:2">
      <c r="B1413" t="s">
        <v>854</v>
      </c>
    </row>
    <row r="1414" spans="2:2">
      <c r="B1414" t="s">
        <v>855</v>
      </c>
    </row>
    <row r="1415" spans="2:2">
      <c r="B1415" t="s">
        <v>632</v>
      </c>
    </row>
    <row r="1416" spans="2:2">
      <c r="B1416" t="s">
        <v>633</v>
      </c>
    </row>
    <row r="1417" spans="2:2">
      <c r="B1417" t="s">
        <v>696</v>
      </c>
    </row>
    <row r="1418" spans="2:2">
      <c r="B1418" t="s">
        <v>715</v>
      </c>
    </row>
    <row r="1419" spans="2:2">
      <c r="B1419" t="s">
        <v>663</v>
      </c>
    </row>
    <row r="1420" spans="2:2">
      <c r="B1420" t="s">
        <v>717</v>
      </c>
    </row>
    <row r="1421" spans="2:2">
      <c r="B1421" t="s">
        <v>658</v>
      </c>
    </row>
    <row r="1422" spans="2:2">
      <c r="B1422" t="s">
        <v>718</v>
      </c>
    </row>
    <row r="1423" spans="2:2">
      <c r="B1423" t="s">
        <v>813</v>
      </c>
    </row>
    <row r="1424" spans="2:2">
      <c r="B1424" t="s">
        <v>641</v>
      </c>
    </row>
    <row r="1425" spans="2:2">
      <c r="B1425" t="s">
        <v>642</v>
      </c>
    </row>
    <row r="1426" spans="2:2">
      <c r="B1426" t="s">
        <v>643</v>
      </c>
    </row>
    <row r="1427" spans="2:2">
      <c r="B1427" t="s">
        <v>644</v>
      </c>
    </row>
    <row r="1428" spans="2:2">
      <c r="B1428" t="s">
        <v>645</v>
      </c>
    </row>
    <row r="1429" spans="2:2">
      <c r="B1429" t="s">
        <v>646</v>
      </c>
    </row>
    <row r="1430" spans="2:2">
      <c r="B1430" t="s">
        <v>881</v>
      </c>
    </row>
    <row r="1431" spans="2:2">
      <c r="B1431" t="s">
        <v>647</v>
      </c>
    </row>
    <row r="1432" spans="2:2">
      <c r="B1432" t="s">
        <v>860</v>
      </c>
    </row>
    <row r="1433" spans="2:2">
      <c r="B1433" t="s">
        <v>861</v>
      </c>
    </row>
    <row r="1434" spans="2:2">
      <c r="B1434" t="s">
        <v>805</v>
      </c>
    </row>
    <row r="1435" spans="2:2">
      <c r="B1435" t="s">
        <v>854</v>
      </c>
    </row>
    <row r="1436" spans="2:2">
      <c r="B1436" t="s">
        <v>855</v>
      </c>
    </row>
    <row r="1437" spans="2:2">
      <c r="B1437" t="s">
        <v>632</v>
      </c>
    </row>
    <row r="1438" spans="2:2">
      <c r="B1438" t="s">
        <v>633</v>
      </c>
    </row>
    <row r="1439" spans="2:2">
      <c r="B1439" t="s">
        <v>696</v>
      </c>
    </row>
    <row r="1440" spans="2:2">
      <c r="B1440" t="s">
        <v>672</v>
      </c>
    </row>
    <row r="1441" spans="2:2">
      <c r="B1441" t="s">
        <v>663</v>
      </c>
    </row>
    <row r="1442" spans="2:2">
      <c r="B1442" t="s">
        <v>781</v>
      </c>
    </row>
    <row r="1443" spans="2:2">
      <c r="B1443" t="s">
        <v>658</v>
      </c>
    </row>
    <row r="1444" spans="2:2">
      <c r="B1444" t="s">
        <v>675</v>
      </c>
    </row>
    <row r="1445" spans="2:2">
      <c r="B1445" t="s">
        <v>813</v>
      </c>
    </row>
    <row r="1446" spans="2:2">
      <c r="B1446" t="s">
        <v>641</v>
      </c>
    </row>
    <row r="1447" spans="2:2">
      <c r="B1447" t="s">
        <v>642</v>
      </c>
    </row>
    <row r="1448" spans="2:2">
      <c r="B1448" t="s">
        <v>643</v>
      </c>
    </row>
    <row r="1449" spans="2:2">
      <c r="B1449" t="s">
        <v>644</v>
      </c>
    </row>
    <row r="1450" spans="2:2">
      <c r="B1450" t="s">
        <v>645</v>
      </c>
    </row>
    <row r="1451" spans="2:2">
      <c r="B1451" t="s">
        <v>646</v>
      </c>
    </row>
    <row r="1452" spans="2:2">
      <c r="B1452" t="s">
        <v>881</v>
      </c>
    </row>
    <row r="1453" spans="2:2">
      <c r="B1453" t="s">
        <v>647</v>
      </c>
    </row>
    <row r="1454" spans="2:2">
      <c r="B1454" t="s">
        <v>862</v>
      </c>
    </row>
    <row r="1455" spans="2:2">
      <c r="B1455" t="s">
        <v>863</v>
      </c>
    </row>
    <row r="1456" spans="2:2">
      <c r="B1456" t="s">
        <v>805</v>
      </c>
    </row>
    <row r="1457" spans="2:2">
      <c r="B1457" t="s">
        <v>864</v>
      </c>
    </row>
    <row r="1458" spans="2:2">
      <c r="B1458" t="s">
        <v>865</v>
      </c>
    </row>
    <row r="1459" spans="2:2">
      <c r="B1459" t="s">
        <v>632</v>
      </c>
    </row>
    <row r="1460" spans="2:2">
      <c r="B1460" t="s">
        <v>633</v>
      </c>
    </row>
    <row r="1461" spans="2:2">
      <c r="B1461" t="s">
        <v>656</v>
      </c>
    </row>
    <row r="1462" spans="2:2">
      <c r="B1462" t="s">
        <v>662</v>
      </c>
    </row>
    <row r="1463" spans="2:2">
      <c r="B1463" t="s">
        <v>807</v>
      </c>
    </row>
    <row r="1464" spans="2:2">
      <c r="B1464" t="s">
        <v>764</v>
      </c>
    </row>
    <row r="1465" spans="2:2">
      <c r="B1465" t="s">
        <v>665</v>
      </c>
    </row>
    <row r="1466" spans="2:2">
      <c r="B1466" t="s">
        <v>666</v>
      </c>
    </row>
    <row r="1467" spans="2:2">
      <c r="B1467" t="s">
        <v>667</v>
      </c>
    </row>
    <row r="1468" spans="2:2">
      <c r="B1468" t="s">
        <v>668</v>
      </c>
    </row>
    <row r="1469" spans="2:2">
      <c r="B1469" t="s">
        <v>642</v>
      </c>
    </row>
    <row r="1470" spans="2:2">
      <c r="B1470" t="s">
        <v>643</v>
      </c>
    </row>
    <row r="1471" spans="2:2">
      <c r="B1471" t="s">
        <v>644</v>
      </c>
    </row>
    <row r="1472" spans="2:2">
      <c r="B1472" t="s">
        <v>645</v>
      </c>
    </row>
    <row r="1473" spans="2:2">
      <c r="B1473" t="s">
        <v>646</v>
      </c>
    </row>
    <row r="1474" spans="2:2">
      <c r="B1474" t="s">
        <v>881</v>
      </c>
    </row>
    <row r="1475" spans="2:2">
      <c r="B1475" t="s">
        <v>647</v>
      </c>
    </row>
    <row r="1476" spans="2:2">
      <c r="B1476" t="s">
        <v>866</v>
      </c>
    </row>
    <row r="1477" spans="2:2">
      <c r="B1477" t="s">
        <v>867</v>
      </c>
    </row>
    <row r="1478" spans="2:2">
      <c r="B1478" t="s">
        <v>805</v>
      </c>
    </row>
    <row r="1479" spans="2:2">
      <c r="B1479" t="s">
        <v>864</v>
      </c>
    </row>
    <row r="1480" spans="2:2">
      <c r="B1480" t="s">
        <v>865</v>
      </c>
    </row>
    <row r="1481" spans="2:2">
      <c r="B1481" t="s">
        <v>632</v>
      </c>
    </row>
    <row r="1482" spans="2:2">
      <c r="B1482" t="s">
        <v>633</v>
      </c>
    </row>
    <row r="1483" spans="2:2">
      <c r="B1483" t="s">
        <v>669</v>
      </c>
    </row>
    <row r="1484" spans="2:2">
      <c r="B1484" t="s">
        <v>670</v>
      </c>
    </row>
    <row r="1485" spans="2:2">
      <c r="B1485" t="s">
        <v>663</v>
      </c>
    </row>
    <row r="1486" spans="2:2">
      <c r="B1486" t="s">
        <v>657</v>
      </c>
    </row>
    <row r="1487" spans="2:2">
      <c r="B1487" t="s">
        <v>654</v>
      </c>
    </row>
    <row r="1488" spans="2:2">
      <c r="B1488" t="s">
        <v>639</v>
      </c>
    </row>
    <row r="1489" spans="2:2">
      <c r="B1489" t="s">
        <v>640</v>
      </c>
    </row>
    <row r="1490" spans="2:2">
      <c r="B1490" t="s">
        <v>641</v>
      </c>
    </row>
    <row r="1491" spans="2:2">
      <c r="B1491" t="s">
        <v>642</v>
      </c>
    </row>
    <row r="1492" spans="2:2">
      <c r="B1492" t="s">
        <v>643</v>
      </c>
    </row>
    <row r="1493" spans="2:2">
      <c r="B1493" t="s">
        <v>644</v>
      </c>
    </row>
    <row r="1494" spans="2:2">
      <c r="B1494" t="s">
        <v>645</v>
      </c>
    </row>
    <row r="1495" spans="2:2">
      <c r="B1495" t="s">
        <v>646</v>
      </c>
    </row>
    <row r="1496" spans="2:2">
      <c r="B1496" t="s">
        <v>881</v>
      </c>
    </row>
    <row r="1497" spans="2:2">
      <c r="B1497" t="s">
        <v>647</v>
      </c>
    </row>
    <row r="1498" spans="2:2">
      <c r="B1498" t="s">
        <v>868</v>
      </c>
    </row>
    <row r="1499" spans="2:2">
      <c r="B1499" t="s">
        <v>869</v>
      </c>
    </row>
    <row r="1500" spans="2:2">
      <c r="B1500" t="s">
        <v>805</v>
      </c>
    </row>
    <row r="1501" spans="2:2">
      <c r="B1501" t="s">
        <v>864</v>
      </c>
    </row>
    <row r="1502" spans="2:2">
      <c r="B1502" t="s">
        <v>865</v>
      </c>
    </row>
    <row r="1503" spans="2:2">
      <c r="B1503" t="s">
        <v>632</v>
      </c>
    </row>
    <row r="1504" spans="2:2">
      <c r="B1504" t="s">
        <v>633</v>
      </c>
    </row>
    <row r="1505" spans="2:2">
      <c r="B1505" t="s">
        <v>870</v>
      </c>
    </row>
    <row r="1506" spans="2:2">
      <c r="B1506" t="s">
        <v>715</v>
      </c>
    </row>
    <row r="1507" spans="2:2">
      <c r="B1507" t="s">
        <v>663</v>
      </c>
    </row>
    <row r="1508" spans="2:2">
      <c r="B1508" t="s">
        <v>764</v>
      </c>
    </row>
    <row r="1509" spans="2:2">
      <c r="B1509" t="s">
        <v>658</v>
      </c>
    </row>
    <row r="1510" spans="2:2">
      <c r="B1510" t="s">
        <v>718</v>
      </c>
    </row>
    <row r="1511" spans="2:2">
      <c r="B1511" t="s">
        <v>871</v>
      </c>
    </row>
    <row r="1512" spans="2:2">
      <c r="B1512" t="s">
        <v>641</v>
      </c>
    </row>
    <row r="1513" spans="2:2">
      <c r="B1513" t="s">
        <v>642</v>
      </c>
    </row>
    <row r="1514" spans="2:2">
      <c r="B1514" t="s">
        <v>643</v>
      </c>
    </row>
    <row r="1515" spans="2:2">
      <c r="B1515" t="s">
        <v>644</v>
      </c>
    </row>
    <row r="1516" spans="2:2">
      <c r="B1516" t="s">
        <v>645</v>
      </c>
    </row>
    <row r="1517" spans="2:2">
      <c r="B1517" t="s">
        <v>646</v>
      </c>
    </row>
    <row r="1518" spans="2:2">
      <c r="B1518" t="s">
        <v>881</v>
      </c>
    </row>
    <row r="1519" spans="2:2">
      <c r="B1519" t="s">
        <v>647</v>
      </c>
    </row>
    <row r="1520" spans="2:2">
      <c r="B1520" t="s">
        <v>872</v>
      </c>
    </row>
    <row r="1521" spans="2:2">
      <c r="B1521" t="s">
        <v>873</v>
      </c>
    </row>
    <row r="1522" spans="2:2">
      <c r="B1522" t="s">
        <v>805</v>
      </c>
    </row>
    <row r="1523" spans="2:2">
      <c r="B1523" t="s">
        <v>864</v>
      </c>
    </row>
    <row r="1524" spans="2:2">
      <c r="B1524" t="s">
        <v>865</v>
      </c>
    </row>
    <row r="1525" spans="2:2">
      <c r="B1525" t="s">
        <v>632</v>
      </c>
    </row>
    <row r="1526" spans="2:2">
      <c r="B1526" t="s">
        <v>633</v>
      </c>
    </row>
    <row r="1527" spans="2:2">
      <c r="B1527" t="s">
        <v>696</v>
      </c>
    </row>
    <row r="1528" spans="2:2">
      <c r="B1528" t="s">
        <v>672</v>
      </c>
    </row>
    <row r="1529" spans="2:2">
      <c r="B1529" t="s">
        <v>663</v>
      </c>
    </row>
    <row r="1530" spans="2:2">
      <c r="B1530" t="s">
        <v>717</v>
      </c>
    </row>
    <row r="1531" spans="2:2">
      <c r="B1531" t="s">
        <v>658</v>
      </c>
    </row>
    <row r="1532" spans="2:2">
      <c r="B1532" t="s">
        <v>675</v>
      </c>
    </row>
    <row r="1533" spans="2:2">
      <c r="B1533" t="s">
        <v>871</v>
      </c>
    </row>
    <row r="1534" spans="2:2">
      <c r="B1534" t="s">
        <v>641</v>
      </c>
    </row>
    <row r="1535" spans="2:2">
      <c r="B1535" t="s">
        <v>642</v>
      </c>
    </row>
    <row r="1536" spans="2:2">
      <c r="B1536" t="s">
        <v>643</v>
      </c>
    </row>
    <row r="1537" spans="2:2">
      <c r="B1537" t="s">
        <v>644</v>
      </c>
    </row>
    <row r="1538" spans="2:2">
      <c r="B1538" t="s">
        <v>645</v>
      </c>
    </row>
    <row r="1539" spans="2:2">
      <c r="B1539" t="s">
        <v>646</v>
      </c>
    </row>
    <row r="1540" spans="2:2">
      <c r="B1540" t="s">
        <v>881</v>
      </c>
    </row>
    <row r="1541" spans="2:2">
      <c r="B1541" t="s">
        <v>647</v>
      </c>
    </row>
    <row r="1542" spans="2:2">
      <c r="B1542" t="s">
        <v>874</v>
      </c>
    </row>
    <row r="1543" spans="2:2">
      <c r="B1543" t="s">
        <v>875</v>
      </c>
    </row>
    <row r="1544" spans="2:2">
      <c r="B1544" t="s">
        <v>805</v>
      </c>
    </row>
    <row r="1545" spans="2:2">
      <c r="B1545" t="s">
        <v>876</v>
      </c>
    </row>
    <row r="1546" spans="2:2">
      <c r="B1546" t="s">
        <v>631</v>
      </c>
    </row>
    <row r="1547" spans="2:2">
      <c r="B1547" t="s">
        <v>632</v>
      </c>
    </row>
    <row r="1548" spans="2:2">
      <c r="B1548" t="s">
        <v>633</v>
      </c>
    </row>
    <row r="1549" spans="2:2">
      <c r="B1549" t="s">
        <v>634</v>
      </c>
    </row>
    <row r="1550" spans="2:2">
      <c r="B1550" t="s">
        <v>679</v>
      </c>
    </row>
    <row r="1551" spans="2:2">
      <c r="B1551" t="s">
        <v>680</v>
      </c>
    </row>
    <row r="1552" spans="2:2">
      <c r="B1552" t="s">
        <v>637</v>
      </c>
    </row>
    <row r="1553" spans="2:2">
      <c r="B1553" t="s">
        <v>802</v>
      </c>
    </row>
    <row r="1554" spans="2:2">
      <c r="B1554" t="s">
        <v>639</v>
      </c>
    </row>
    <row r="1555" spans="2:2">
      <c r="B1555" t="s">
        <v>640</v>
      </c>
    </row>
    <row r="1556" spans="2:2">
      <c r="B1556" t="s">
        <v>641</v>
      </c>
    </row>
    <row r="1557" spans="2:2">
      <c r="B1557" t="s">
        <v>642</v>
      </c>
    </row>
    <row r="1558" spans="2:2">
      <c r="B1558" t="s">
        <v>643</v>
      </c>
    </row>
    <row r="1559" spans="2:2">
      <c r="B1559" t="s">
        <v>644</v>
      </c>
    </row>
    <row r="1560" spans="2:2">
      <c r="B1560" t="s">
        <v>645</v>
      </c>
    </row>
    <row r="1561" spans="2:2">
      <c r="B1561" t="s">
        <v>646</v>
      </c>
    </row>
    <row r="1562" spans="2:2">
      <c r="B1562" t="s">
        <v>881</v>
      </c>
    </row>
    <row r="1563" spans="2:2">
      <c r="B1563" t="s">
        <v>884</v>
      </c>
    </row>
    <row r="1564" spans="2:2">
      <c r="B1564" t="s">
        <v>877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D_技能效果表</vt:lpstr>
      <vt:lpstr>定义</vt:lpstr>
      <vt:lpstr>指令详细说明</vt:lpstr>
      <vt:lpstr>说明</vt:lpstr>
      <vt:lpstr>框选定义匹配</vt:lpstr>
      <vt:lpstr>Sheet2</vt:lpstr>
      <vt:lpstr>Sheet6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2016-04-20T13:29:42Z</dcterms:modified>
</cp:coreProperties>
</file>
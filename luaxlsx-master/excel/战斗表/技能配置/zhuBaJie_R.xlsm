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D_技能效果表!$A$1:$T$14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A54" i="3" l="1"/>
  <c r="I53" i="3"/>
  <c r="I61" i="3" l="1"/>
  <c r="A61" i="3"/>
  <c r="I60" i="3"/>
  <c r="A60" i="3"/>
  <c r="I59" i="3"/>
  <c r="A59" i="3"/>
  <c r="I58" i="3"/>
  <c r="A58" i="3"/>
  <c r="I57" i="3"/>
  <c r="A57" i="3"/>
  <c r="I56" i="3"/>
  <c r="A56" i="3"/>
  <c r="I55" i="3"/>
  <c r="A55" i="3"/>
  <c r="I54" i="3"/>
  <c r="I52" i="3"/>
  <c r="A52" i="3"/>
  <c r="I51" i="3"/>
  <c r="A51" i="3"/>
  <c r="I50" i="3"/>
  <c r="I49" i="3"/>
  <c r="I48" i="3"/>
  <c r="I47" i="3"/>
  <c r="I46" i="3"/>
  <c r="I45" i="3"/>
  <c r="A45" i="3"/>
  <c r="I44" i="3"/>
  <c r="A44" i="3"/>
  <c r="I43" i="3"/>
  <c r="A43" i="3"/>
  <c r="I42" i="3"/>
  <c r="A42" i="3"/>
  <c r="I41" i="3"/>
  <c r="A41" i="3"/>
  <c r="I40" i="3"/>
  <c r="A40" i="3"/>
  <c r="I39" i="3"/>
  <c r="A39" i="3"/>
  <c r="I38" i="3"/>
  <c r="A38" i="3"/>
  <c r="I37" i="3"/>
  <c r="I36" i="3"/>
  <c r="A36" i="3"/>
  <c r="I35" i="3"/>
  <c r="A35" i="3"/>
  <c r="I34" i="3"/>
  <c r="A34" i="3"/>
  <c r="I23" i="3" l="1"/>
  <c r="A23" i="3"/>
  <c r="A22" i="3" l="1"/>
  <c r="A31" i="3" l="1"/>
  <c r="A30" i="3"/>
  <c r="A29" i="3"/>
  <c r="A28" i="3"/>
  <c r="A27" i="3"/>
  <c r="A26" i="3"/>
  <c r="A25" i="3"/>
  <c r="A24" i="3"/>
  <c r="A7" i="3"/>
  <c r="A6" i="3"/>
  <c r="A5" i="3"/>
  <c r="A16" i="3"/>
  <c r="A15" i="3"/>
  <c r="A14" i="3"/>
  <c r="A13" i="3"/>
  <c r="A12" i="3"/>
  <c r="A11" i="3"/>
  <c r="A10" i="3"/>
  <c r="A9" i="3"/>
  <c r="I31" i="3"/>
  <c r="I30" i="3"/>
  <c r="I29" i="3"/>
  <c r="I28" i="3"/>
  <c r="I27" i="3"/>
  <c r="I26" i="3"/>
  <c r="I25" i="3"/>
  <c r="I24" i="3"/>
  <c r="I22" i="3"/>
  <c r="I21" i="3"/>
  <c r="I20" i="3"/>
  <c r="I19" i="3"/>
  <c r="I18" i="3"/>
  <c r="I17" i="3"/>
  <c r="I15" i="3"/>
  <c r="I14" i="3"/>
  <c r="I13" i="3"/>
  <c r="I12" i="3"/>
  <c r="I11" i="3"/>
  <c r="I10" i="3"/>
  <c r="I9" i="3"/>
  <c r="I8" i="3"/>
  <c r="I7" i="3"/>
  <c r="I6" i="3"/>
  <c r="I5" i="3"/>
  <c r="I16" i="3"/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关系型：敌方E、友方包含自己M、排斥自己Q、自己S、主人或宠物P
全体:A
例如：EFB则为包含站立、浮空、霸体的敌军单位</t>
        </r>
      </text>
    </comment>
    <comment ref="H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7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7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7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7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7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7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9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2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2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2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2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2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2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3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1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5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K16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16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16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16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16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16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16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16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18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8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8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8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19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9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9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9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20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0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0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0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21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1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1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1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22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</t>
        </r>
      </text>
    </comment>
    <comment ref="L22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22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22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K23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3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3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3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24" authorId="1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L24" authorId="1" shapeId="0">
      <text>
        <r>
          <rPr>
            <sz val="9"/>
            <color indexed="81"/>
            <rFont val="宋体"/>
            <family val="3"/>
            <charset val="134"/>
          </rPr>
          <t>数量(int)</t>
        </r>
      </text>
    </comment>
    <comment ref="M24" authorId="1" shapeId="0">
      <text>
        <r>
          <rPr>
            <sz val="9"/>
            <color indexed="81"/>
            <rFont val="宋体"/>
            <family val="3"/>
            <charset val="134"/>
          </rPr>
          <t>召唤位置范围
minX|maxX|minY|maxY|minZ|maxZ</t>
        </r>
      </text>
    </comment>
    <comment ref="N24" authorId="1" shapeId="0">
      <text>
        <r>
          <rPr>
            <sz val="9"/>
            <color indexed="81"/>
            <rFont val="宋体"/>
            <family val="3"/>
            <charset val="134"/>
          </rPr>
          <t>继承主人属性(float)
召唤怪属性=主人属性*所填百分比+怪物自身属性</t>
        </r>
      </text>
    </comment>
    <comment ref="O24" authorId="1" shapeId="0">
      <text>
        <r>
          <rPr>
            <sz val="9"/>
            <color indexed="81"/>
            <rFont val="宋体"/>
            <family val="3"/>
            <charset val="134"/>
          </rPr>
          <t>召唤出来后立即释放某个ID的技能</t>
        </r>
      </text>
    </comment>
    <comment ref="P24" authorId="1" shapeId="0">
      <text>
        <r>
          <rPr>
            <sz val="9"/>
            <color indexed="81"/>
            <rFont val="宋体"/>
            <family val="3"/>
            <charset val="134"/>
          </rPr>
          <t>主人的召唤技能中断时，自身死亡消失
0不消失
1消失</t>
        </r>
      </text>
    </comment>
    <comment ref="K25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5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5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5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26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6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6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6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H2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8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8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2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9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K3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0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K31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31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31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31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31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31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31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31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H3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3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5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35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36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36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36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36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36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36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36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36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38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8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38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3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9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39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39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39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39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39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4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0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40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4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4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4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4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4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4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4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4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42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4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4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4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4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4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4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4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44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44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44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K45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45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45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45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45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45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45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45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47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47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47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47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48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48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48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48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49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49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49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49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50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50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50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50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51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</t>
        </r>
      </text>
    </comment>
    <comment ref="L51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51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51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K52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52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52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52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Q52" authorId="1" shapeId="0">
      <text>
        <r>
          <rPr>
            <sz val="9"/>
            <color indexed="81"/>
            <rFont val="宋体"/>
            <family val="3"/>
            <charset val="134"/>
          </rPr>
          <t>死亡锁定(int)
0不锁定
1锁定，主人死亡时召唤怪物一起死亡</t>
        </r>
      </text>
    </comment>
    <comment ref="K53" authorId="1" shapeId="0">
      <text>
        <r>
          <rPr>
            <sz val="9"/>
            <color indexed="81"/>
            <rFont val="宋体"/>
            <family val="3"/>
            <charset val="134"/>
          </rPr>
          <t>怪物ID(int)</t>
        </r>
      </text>
    </comment>
    <comment ref="L53" authorId="1" shapeId="0">
      <text>
        <r>
          <rPr>
            <sz val="9"/>
            <color indexed="81"/>
            <rFont val="宋体"/>
            <family val="3"/>
            <charset val="134"/>
          </rPr>
          <t>数量(int)</t>
        </r>
      </text>
    </comment>
    <comment ref="M53" authorId="1" shapeId="0">
      <text>
        <r>
          <rPr>
            <sz val="9"/>
            <color indexed="81"/>
            <rFont val="宋体"/>
            <family val="3"/>
            <charset val="134"/>
          </rPr>
          <t>召唤位置范围
minX|maxX|minY|maxY|minZ|maxZ</t>
        </r>
      </text>
    </comment>
    <comment ref="N53" authorId="1" shapeId="0">
      <text>
        <r>
          <rPr>
            <sz val="9"/>
            <color indexed="81"/>
            <rFont val="宋体"/>
            <family val="3"/>
            <charset val="134"/>
          </rPr>
          <t>继承主人属性百分比(float)</t>
        </r>
      </text>
    </comment>
    <comment ref="O5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P5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Q5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R5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S5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T5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K54" authorId="1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L54" authorId="1" shapeId="0">
      <text>
        <r>
          <rPr>
            <sz val="9"/>
            <color indexed="81"/>
            <rFont val="宋体"/>
            <family val="3"/>
            <charset val="134"/>
          </rPr>
          <t>数量(int)</t>
        </r>
      </text>
    </comment>
    <comment ref="M54" authorId="1" shapeId="0">
      <text>
        <r>
          <rPr>
            <sz val="9"/>
            <color indexed="81"/>
            <rFont val="宋体"/>
            <family val="3"/>
            <charset val="134"/>
          </rPr>
          <t>召唤位置范围
minX|maxX|minY|maxY|minZ|maxZ</t>
        </r>
      </text>
    </comment>
    <comment ref="N54" authorId="1" shapeId="0">
      <text>
        <r>
          <rPr>
            <sz val="9"/>
            <color indexed="81"/>
            <rFont val="宋体"/>
            <family val="3"/>
            <charset val="134"/>
          </rPr>
          <t>继承主人属性(float)
召唤怪属性=主人属性*所填百分比+怪物自身属性</t>
        </r>
      </text>
    </comment>
    <comment ref="O54" authorId="1" shapeId="0">
      <text>
        <r>
          <rPr>
            <sz val="9"/>
            <color indexed="81"/>
            <rFont val="宋体"/>
            <family val="3"/>
            <charset val="134"/>
          </rPr>
          <t>召唤出来后立即释放某个ID的技能</t>
        </r>
      </text>
    </comment>
    <comment ref="P54" authorId="1" shapeId="0">
      <text>
        <r>
          <rPr>
            <sz val="9"/>
            <color indexed="81"/>
            <rFont val="宋体"/>
            <family val="3"/>
            <charset val="134"/>
          </rPr>
          <t>主人的召唤技能中断时，自身死亡消失
0不消失
1消失</t>
        </r>
      </text>
    </comment>
    <comment ref="K55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55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55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55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56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56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56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56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H5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5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8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58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5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5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59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K60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60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60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K61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61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61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61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61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61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61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61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</commentList>
</comments>
</file>

<file path=xl/sharedStrings.xml><?xml version="1.0" encoding="utf-8"?>
<sst xmlns="http://schemas.openxmlformats.org/spreadsheetml/2006/main" count="1500" uniqueCount="558">
  <si>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</si>
  <si>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</si>
  <si>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</si>
  <si>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</si>
  <si>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</si>
  <si>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</si>
  <si>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</si>
  <si>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</si>
  <si>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</si>
  <si>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</si>
  <si>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</si>
  <si>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</si>
  <si>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</si>
  <si>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</si>
  <si>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</si>
  <si>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</si>
  <si>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</si>
  <si>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</si>
  <si>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</si>
  <si>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</si>
  <si>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</si>
  <si>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</si>
  <si>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</si>
  <si>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</si>
  <si>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</si>
  <si>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</si>
  <si>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</si>
  <si>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</si>
  <si>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</si>
  <si>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</si>
  <si>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</si>
  <si>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</si>
  <si>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</si>
  <si>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</si>
  <si>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</si>
  <si>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</si>
  <si>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</si>
  <si>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</si>
  <si>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</si>
  <si>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</si>
  <si>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</si>
  <si>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</si>
  <si>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</si>
  <si>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</si>
  <si>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</si>
  <si>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</si>
  <si>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</si>
  <si>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</si>
  <si>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</si>
  <si>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</si>
  <si>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</si>
  <si>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自身移动</t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</si>
  <si>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</si>
  <si>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</si>
  <si>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</si>
  <si>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</si>
  <si>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</si>
  <si>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</si>
  <si>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</si>
  <si>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</si>
  <si>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</si>
  <si>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</si>
  <si>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</si>
  <si>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</si>
  <si>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</si>
  <si>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</si>
  <si>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</si>
  <si>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</si>
  <si>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</si>
  <si>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</si>
  <si>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</si>
  <si>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</si>
  <si>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</si>
  <si>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</si>
  <si>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</si>
  <si>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</si>
  <si>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</si>
  <si>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</si>
  <si>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</si>
  <si>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</si>
  <si>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</si>
  <si>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</si>
  <si>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</si>
  <si>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</si>
  <si>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</si>
  <si>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</si>
  <si>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</si>
  <si>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</si>
  <si>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</si>
  <si>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</si>
  <si>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</si>
  <si>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</si>
  <si>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</si>
  <si>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</si>
  <si>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</si>
  <si>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</si>
  <si>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</si>
  <si>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</si>
  <si>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</si>
  <si>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</si>
  <si>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</si>
  <si>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</si>
  <si>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</si>
  <si>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</si>
  <si>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</si>
  <si>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</si>
  <si>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</si>
  <si>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</si>
  <si>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</si>
  <si>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</si>
  <si>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</si>
  <si>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</si>
  <si>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</si>
  <si>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</si>
  <si>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</si>
  <si>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</si>
  <si>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</si>
  <si>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</si>
  <si>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</si>
  <si>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</si>
  <si>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</si>
  <si>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</si>
  <si>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</si>
  <si>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</si>
  <si>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</si>
  <si>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</si>
  <si>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</si>
  <si>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</si>
  <si>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</si>
  <si>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</si>
  <si>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</si>
  <si>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</si>
  <si>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</si>
  <si>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</si>
  <si>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</si>
  <si>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</si>
  <si>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</si>
  <si>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</si>
  <si>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</si>
  <si>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</si>
  <si>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</si>
  <si>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</si>
  <si>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</si>
  <si>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</si>
  <si>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</si>
  <si>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</si>
  <si>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</si>
  <si>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</si>
  <si>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</si>
  <si>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</si>
  <si>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</si>
  <si>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</si>
  <si>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</si>
  <si>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</si>
  <si>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</si>
  <si>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</si>
  <si>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</si>
  <si>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</si>
  <si>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</si>
  <si>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</si>
  <si>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</si>
  <si>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</si>
  <si>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</si>
  <si>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</si>
  <si>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</si>
  <si>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</si>
  <si>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</si>
  <si>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</si>
  <si>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</si>
  <si>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</si>
  <si>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</si>
  <si>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</si>
  <si>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</si>
  <si>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</si>
  <si>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</si>
  <si>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</si>
  <si>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</si>
  <si>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</si>
  <si>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</si>
  <si>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</si>
  <si>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</si>
  <si>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</si>
  <si>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</si>
  <si>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</si>
  <si>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</si>
  <si>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</si>
  <si>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</si>
  <si>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</si>
  <si>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</si>
  <si>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</si>
  <si>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</si>
  <si>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</si>
  <si>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</si>
  <si>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</si>
  <si>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</si>
  <si>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</si>
  <si>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</si>
  <si>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</si>
  <si>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</si>
  <si>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</si>
  <si>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</si>
  <si>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</si>
  <si>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</si>
  <si>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</si>
  <si>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</si>
  <si>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</si>
  <si>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</si>
  <si>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</si>
  <si>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</si>
  <si>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</si>
  <si>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</si>
  <si>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</si>
  <si>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</si>
  <si>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</si>
  <si>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</si>
  <si>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</si>
  <si>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</si>
  <si>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</si>
  <si>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</si>
  <si>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</si>
  <si>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</si>
  <si>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</si>
  <si>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</si>
  <si>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</si>
  <si>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</si>
  <si>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</si>
  <si>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</si>
  <si>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</si>
  <si>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</si>
  <si>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</si>
  <si>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</si>
  <si>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</si>
  <si>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</si>
  <si>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</si>
  <si>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</si>
  <si>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</si>
  <si>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</si>
  <si>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</si>
  <si>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</si>
  <si>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</si>
  <si>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</si>
  <si>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</si>
  <si>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</si>
  <si>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</si>
  <si>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</si>
  <si>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</si>
  <si>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</si>
  <si>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</si>
  <si>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</si>
  <si>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</si>
  <si>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</si>
  <si>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</si>
  <si>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</si>
  <si>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</si>
  <si>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</si>
  <si>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</si>
  <si>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 xml:space="preserve">    "Id":5,</t>
  </si>
  <si>
    <t xml:space="preserve">    "hitId":0,</t>
  </si>
  <si>
    <t xml:space="preserve">    "bulletId":0,</t>
  </si>
  <si>
    <t xml:space="preserve">    "mangerId":0,</t>
  </si>
  <si>
    <t xml:space="preserve">    "selectTarget":"",</t>
  </si>
  <si>
    <t xml:space="preserve">    "cmdType":11,</t>
  </si>
  <si>
    <t xml:space="preserve">    "args2":"0",</t>
  </si>
  <si>
    <t xml:space="preserve">    "args3":"0.1",</t>
  </si>
  <si>
    <t xml:space="preserve">    "args4":"",</t>
  </si>
  <si>
    <t xml:space="preserve">    "args5":"",</t>
  </si>
  <si>
    <t xml:space="preserve">    "args6":"",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</si>
  <si>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</si>
  <si>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</si>
  <si>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</si>
  <si>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</si>
  <si>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</si>
  <si>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>},</t>
  </si>
  <si>
    <t>"7":{</t>
  </si>
  <si>
    <t xml:space="preserve">    "Id":7,</t>
  </si>
  <si>
    <t xml:space="preserve">    "hitId":1,</t>
  </si>
  <si>
    <t xml:space="preserve">    "selectTarget":"A",</t>
  </si>
  <si>
    <t xml:space="preserve">    "cmdType":31,</t>
  </si>
  <si>
    <t xml:space="preserve">    "args4":"300",</t>
  </si>
  <si>
    <t xml:space="preserve">    "selectTarget":"EFTB",</t>
  </si>
  <si>
    <t xml:space="preserve">    "cmdType":1,</t>
  </si>
  <si>
    <t xml:space="preserve">    "args1":"300",</t>
  </si>
  <si>
    <t xml:space="preserve">    "args2":"1",</t>
  </si>
  <si>
    <t xml:space="preserve">    "args3":"",</t>
  </si>
  <si>
    <t>"9":{</t>
  </si>
  <si>
    <t xml:space="preserve">    "Id":9,</t>
  </si>
  <si>
    <t>"13":{</t>
  </si>
  <si>
    <t xml:space="preserve">    "Id":13,</t>
  </si>
  <si>
    <t>"16":{</t>
  </si>
  <si>
    <t xml:space="preserve">    "Id":16,</t>
  </si>
  <si>
    <t xml:space="preserve">    "hitId":2,</t>
  </si>
  <si>
    <t xml:space="preserve">    "args5":"-85",</t>
  </si>
  <si>
    <t xml:space="preserve">    "args6":"85",</t>
  </si>
  <si>
    <t>}</t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</si>
  <si>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</si>
  <si>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</si>
  <si>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</si>
  <si>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</si>
  <si>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</si>
  <si>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</si>
  <si>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</si>
  <si>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</si>
  <si>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</si>
  <si>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</si>
  <si>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</si>
  <si>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</si>
  <si>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</si>
  <si>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</si>
  <si>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</si>
  <si>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</si>
  <si>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</si>
  <si>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</si>
  <si>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</si>
  <si>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</si>
  <si>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</si>
  <si>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</si>
  <si>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</si>
  <si>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</si>
  <si>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</si>
  <si>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</si>
  <si>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</si>
  <si>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</si>
  <si>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</si>
  <si>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</si>
  <si>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</si>
  <si>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</si>
  <si>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</si>
  <si>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</si>
  <si>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</si>
  <si>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</si>
  <si>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</si>
  <si>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</si>
  <si>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</si>
  <si>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t>声音名字(string)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</si>
  <si>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3.点击任一其他技能按钮
4.进行移动操作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</si>
  <si>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</si>
  <si>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</si>
  <si>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</si>
  <si>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</si>
  <si>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</si>
  <si>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</si>
  <si>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</si>
  <si>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</si>
  <si>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</si>
  <si>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</si>
  <si>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</si>
  <si>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</si>
  <si>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</si>
  <si>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</si>
  <si>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</si>
  <si>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</si>
  <si>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</si>
  <si>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</si>
  <si>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</si>
  <si>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</si>
  <si>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</si>
  <si>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</si>
  <si>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</si>
  <si>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</si>
  <si>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</si>
  <si>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</si>
  <si>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</si>
  <si>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</si>
  <si>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</si>
  <si>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</si>
  <si>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</si>
  <si>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>自残</t>
    <phoneticPr fontId="2" type="noConversion"/>
  </si>
  <si>
    <t>"14":{</t>
  </si>
  <si>
    <t xml:space="preserve">    "Id":14,</t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</si>
  <si>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</si>
  <si>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</si>
  <si>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>"10":{</t>
  </si>
  <si>
    <t xml:space="preserve">    "Id":10,</t>
  </si>
  <si>
    <t>"11":{</t>
  </si>
  <si>
    <t xml:space="preserve">    "Id":11,</t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</si>
  <si>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</si>
  <si>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</si>
  <si>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</si>
  <si>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</si>
  <si>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</si>
  <si>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</si>
  <si>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</si>
  <si>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</si>
  <si>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"6":{</t>
  </si>
  <si>
    <t xml:space="preserve">    "Id":6,</t>
  </si>
  <si>
    <t xml:space="preserve">    "args3":"-70",</t>
  </si>
  <si>
    <t>重复次数
重复1则总共2次</t>
    <phoneticPr fontId="2" type="noConversion"/>
  </si>
  <si>
    <t>每次重复的间隔时间
秒为单位</t>
    <phoneticPr fontId="2" type="noConversion"/>
  </si>
  <si>
    <t xml:space="preserve">    "args1":"600",</t>
  </si>
  <si>
    <t xml:space="preserve">    "args3":"0.2",</t>
  </si>
  <si>
    <t>震屏</t>
  </si>
  <si>
    <t>目标推置</t>
  </si>
  <si>
    <t>播放特效</t>
  </si>
  <si>
    <t>召唤人宠技怪物</t>
  </si>
  <si>
    <t>yeZhu_atk_pugong3_Sf_E</t>
  </si>
  <si>
    <t>普攻1</t>
  </si>
  <si>
    <t>A</t>
  </si>
  <si>
    <t>碰撞结果</t>
  </si>
  <si>
    <t>EFTB</t>
  </si>
  <si>
    <t>伤害</t>
  </si>
  <si>
    <t>//</t>
  </si>
  <si>
    <t>跳跃砸地</t>
  </si>
  <si>
    <t>EFT</t>
  </si>
  <si>
    <t>变身冲刺</t>
  </si>
  <si>
    <t>yuJing01_E</t>
  </si>
  <si>
    <t>0|0|0</t>
  </si>
  <si>
    <t>250|0|0</t>
  </si>
  <si>
    <t>500|0|0</t>
  </si>
  <si>
    <t>750|0|0</t>
  </si>
  <si>
    <t>0|0|-400|-400|0|0</t>
  </si>
  <si>
    <t>冲刺特效</t>
  </si>
  <si>
    <t>变回特效</t>
  </si>
  <si>
    <t>zhuBaJie_atk_pugong3_Sf_E</t>
  </si>
  <si>
    <t>隐身</t>
  </si>
  <si>
    <t xml:space="preserve">    "actId":21701,</t>
  </si>
  <si>
    <t xml:space="preserve">    "startTime":1.62,</t>
  </si>
  <si>
    <t xml:space="preserve">    "args1":"200",</t>
  </si>
  <si>
    <t xml:space="preserve">    "args2":"600",</t>
  </si>
  <si>
    <t xml:space="preserve">    "args1":"0",</t>
  </si>
  <si>
    <t xml:space="preserve">    "startTime":1.55,</t>
  </si>
  <si>
    <t xml:space="preserve">    "cmdType":16,</t>
  </si>
  <si>
    <t xml:space="preserve">    "args1":"5",</t>
  </si>
  <si>
    <t xml:space="preserve">    "args3":"2",</t>
  </si>
  <si>
    <t xml:space="preserve">    "args4":"90",</t>
  </si>
  <si>
    <t xml:space="preserve">    "args5":"0.2",</t>
  </si>
  <si>
    <t xml:space="preserve">    "args6":"0",</t>
  </si>
  <si>
    <t xml:space="preserve">    "args7":"1",</t>
  </si>
  <si>
    <t xml:space="preserve">    "args8":"1",</t>
  </si>
  <si>
    <t xml:space="preserve">    "actId":21702,</t>
  </si>
  <si>
    <t xml:space="preserve">    "startTime":0.5,</t>
  </si>
  <si>
    <t xml:space="preserve">    "args3":"0.65",</t>
  </si>
  <si>
    <t xml:space="preserve">    "startTime":1.18,</t>
  </si>
  <si>
    <t xml:space="preserve">    "args1":"-250",</t>
  </si>
  <si>
    <t xml:space="preserve">    "args2":"250",</t>
  </si>
  <si>
    <t>"12":{</t>
  </si>
  <si>
    <t xml:space="preserve">    "Id":12,</t>
  </si>
  <si>
    <t xml:space="preserve">    "selectTarget":"EFT",</t>
  </si>
  <si>
    <t xml:space="preserve">    "cmdType":7,</t>
  </si>
  <si>
    <t xml:space="preserve">    "args1":"150",</t>
  </si>
  <si>
    <t xml:space="preserve">    "hitId":3,</t>
  </si>
  <si>
    <t>"15":{</t>
  </si>
  <si>
    <t xml:space="preserve">    "Id":15,</t>
  </si>
  <si>
    <t xml:space="preserve">    "args1":"-150",</t>
  </si>
  <si>
    <t xml:space="preserve">    "startTime":1.17,</t>
  </si>
  <si>
    <t xml:space="preserve">    "args1":"9",</t>
  </si>
  <si>
    <t xml:space="preserve">    "args3":"3",</t>
  </si>
  <si>
    <t xml:space="preserve">    "args5":"0.4",</t>
  </si>
  <si>
    <t xml:space="preserve">    "actId":21703,</t>
  </si>
  <si>
    <t xml:space="preserve">    "cmdType":14,</t>
  </si>
  <si>
    <t xml:space="preserve">    "args3":"0",</t>
  </si>
  <si>
    <t xml:space="preserve">    "args4":"0|0|0",</t>
  </si>
  <si>
    <t>"22":{</t>
  </si>
  <si>
    <t xml:space="preserve">    "Id":22,</t>
  </si>
  <si>
    <t xml:space="preserve">    "startTime":1.1,</t>
  </si>
  <si>
    <t xml:space="preserve">    "cmdType":15,</t>
  </si>
  <si>
    <t xml:space="preserve">    "args1":"18",</t>
  </si>
  <si>
    <t xml:space="preserve">    "args3":"0|0|-400|-400|0|0",</t>
  </si>
  <si>
    <t xml:space="preserve">    "args4":"0",</t>
  </si>
  <si>
    <t xml:space="preserve">    "args5":"215030001",</t>
  </si>
  <si>
    <t xml:space="preserve">    "args6":"1",</t>
  </si>
  <si>
    <t>"23":{</t>
  </si>
  <si>
    <t xml:space="preserve">    "Id":23,</t>
  </si>
  <si>
    <t xml:space="preserve">    "startTime":2.05,</t>
  </si>
  <si>
    <t xml:space="preserve">    "args1":"yeZhu_atk_pugong3_Sf_E",</t>
  </si>
  <si>
    <t xml:space="preserve">    "args2":"2",</t>
  </si>
  <si>
    <t xml:space="preserve">    "args3":"1",</t>
  </si>
  <si>
    <t>"24":{</t>
  </si>
  <si>
    <t xml:space="preserve">    "Id":24,</t>
  </si>
  <si>
    <t xml:space="preserve">    "args1":"zhuBaJie_atk_pugong3_Sf_E",</t>
  </si>
  <si>
    <t>"25":{</t>
  </si>
  <si>
    <t xml:space="preserve">    "Id":25,</t>
  </si>
  <si>
    <t xml:space="preserve">    "startTime":2.15,</t>
  </si>
  <si>
    <t xml:space="preserve">    "args1":"-100",</t>
  </si>
  <si>
    <t xml:space="preserve">    "args2":"550",</t>
  </si>
  <si>
    <t xml:space="preserve">    "args5":"-100",</t>
  </si>
  <si>
    <t xml:space="preserve">    "args6":"100",</t>
  </si>
  <si>
    <t xml:space="preserve">    "repeatTimes":1,</t>
  </si>
  <si>
    <t>"26":{</t>
  </si>
  <si>
    <t xml:space="preserve">    "Id":26,</t>
  </si>
  <si>
    <t>"27":{</t>
  </si>
  <si>
    <t xml:space="preserve">    "Id":27,</t>
  </si>
  <si>
    <t xml:space="preserve">    "args3":"0.3",</t>
  </si>
  <si>
    <t>"28":{</t>
  </si>
  <si>
    <t xml:space="preserve">    "Id":28,</t>
  </si>
  <si>
    <t>"29":{</t>
  </si>
  <si>
    <t xml:space="preserve">    "Id":29,</t>
  </si>
  <si>
    <t xml:space="preserve">    "args1":"10",</t>
  </si>
  <si>
    <t xml:space="preserve">    "args3":"4",</t>
  </si>
  <si>
    <t xml:space="preserve">    "args5":"0.5",</t>
  </si>
  <si>
    <t xml:space="preserve">    "cmdType":35,</t>
  </si>
  <si>
    <t>"30":{</t>
  </si>
  <si>
    <t xml:space="preserve">    "Id":30,</t>
  </si>
  <si>
    <t xml:space="preserve">    "startTime":1,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</si>
  <si>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</si>
  <si>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</si>
  <si>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</si>
  <si>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</si>
  <si>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烟雾特效</t>
    <phoneticPr fontId="3" type="noConversion"/>
  </si>
  <si>
    <t>"31":{</t>
  </si>
  <si>
    <t xml:space="preserve">    "Id":31,</t>
  </si>
  <si>
    <t xml:space="preserve">    "args1":"1.7",</t>
  </si>
  <si>
    <t xml:space="preserve">    "startTime":2.4,</t>
  </si>
  <si>
    <t xml:space="preserve">    "startTime":0.7,</t>
  </si>
  <si>
    <t>200|0|0</t>
    <phoneticPr fontId="3" type="noConversion"/>
  </si>
  <si>
    <t xml:space="preserve">    "args4":"200|0|0",</t>
  </si>
  <si>
    <t>"34":{</t>
  </si>
  <si>
    <t xml:space="preserve">    "Id":34,</t>
  </si>
  <si>
    <t>"35":{</t>
  </si>
  <si>
    <t xml:space="preserve">    "Id":35,</t>
  </si>
  <si>
    <t>"36":{</t>
  </si>
  <si>
    <t xml:space="preserve">    "Id":36,</t>
  </si>
  <si>
    <t>"38":{</t>
  </si>
  <si>
    <t xml:space="preserve">    "Id":38,</t>
  </si>
  <si>
    <t>"39":{</t>
  </si>
  <si>
    <t xml:space="preserve">    "Id":39,</t>
  </si>
  <si>
    <t>"40":{</t>
  </si>
  <si>
    <t xml:space="preserve">    "Id":40,</t>
  </si>
  <si>
    <t>"41":{</t>
  </si>
  <si>
    <t xml:space="preserve">    "Id":41,</t>
  </si>
  <si>
    <t>"42":{</t>
  </si>
  <si>
    <t xml:space="preserve">    "Id":42,</t>
  </si>
  <si>
    <t>"43":{</t>
  </si>
  <si>
    <t xml:space="preserve">    "Id":43,</t>
  </si>
  <si>
    <t>"44":{</t>
  </si>
  <si>
    <t xml:space="preserve">    "Id":44,</t>
  </si>
  <si>
    <t>"45":{</t>
  </si>
  <si>
    <t xml:space="preserve">    "Id":45,</t>
  </si>
  <si>
    <t>"51":{</t>
  </si>
  <si>
    <t xml:space="preserve">    "Id":51,</t>
  </si>
  <si>
    <t>"52":{</t>
  </si>
  <si>
    <t xml:space="preserve">    "Id":52,</t>
  </si>
  <si>
    <t>"54":{</t>
  </si>
  <si>
    <t xml:space="preserve">    "Id":54,</t>
  </si>
  <si>
    <t>"55":{</t>
  </si>
  <si>
    <t xml:space="preserve">    "Id":55,</t>
  </si>
  <si>
    <t>"56":{</t>
  </si>
  <si>
    <t xml:space="preserve">    "Id":56,</t>
  </si>
  <si>
    <t>"57":{</t>
  </si>
  <si>
    <t xml:space="preserve">    "Id":57,</t>
  </si>
  <si>
    <t>"58":{</t>
  </si>
  <si>
    <t xml:space="preserve">    "Id":58,</t>
  </si>
  <si>
    <t>"59":{</t>
  </si>
  <si>
    <t xml:space="preserve">    "Id":59,</t>
  </si>
  <si>
    <t>"60":{</t>
  </si>
  <si>
    <t xml:space="preserve">    "Id":60,</t>
  </si>
  <si>
    <t xml:space="preserve">    "intervalTime":0</t>
    <phoneticPr fontId="2" type="noConversion"/>
  </si>
  <si>
    <t xml:space="preserve">    "intervalTime":0.1</t>
    <phoneticPr fontId="2" type="noConversion"/>
  </si>
  <si>
    <t xml:space="preserve">    "actId":76101,</t>
  </si>
  <si>
    <t xml:space="preserve">    "actId":76102,</t>
  </si>
  <si>
    <t xml:space="preserve">    "actId":76103,</t>
  </si>
  <si>
    <t>}</t>
    <phoneticPr fontId="2" type="noConversion"/>
  </si>
  <si>
    <t xml:space="preserve">    "args2":"0.5",</t>
  </si>
  <si>
    <t>召唤怪物</t>
  </si>
  <si>
    <t>0|0|5|5|0|0</t>
    <phoneticPr fontId="3" type="noConversion"/>
  </si>
  <si>
    <t xml:space="preserve">    "args3":"0|0|5|5|0|0",</t>
  </si>
  <si>
    <t xml:space="preserve">    "intervalTime":0</t>
    <phoneticPr fontId="2" type="noConversion"/>
  </si>
  <si>
    <t>"61":{</t>
  </si>
  <si>
    <t xml:space="preserve">    "Id":61,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</si>
</sst>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61"/>
  <sheetViews>
    <sheetView tabSelected="1" zoomScaleNormal="100" workbookViewId="0">
      <pane xSplit="10" ySplit="2" topLeftCell="K38" activePane="bottomRight" state="frozen"/>
      <selection pane="topRight" activeCell="K1" sqref="K1"/>
      <selection pane="bottomLeft" activeCell="A3" sqref="A3"/>
      <selection pane="bottomRight" activeCell="O54" sqref="O54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4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2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33</v>
      </c>
      <c r="B1" s="24" t="s">
        <v>44</v>
      </c>
      <c r="C1" s="24" t="s">
        <v>216</v>
      </c>
      <c r="D1" s="41" t="s">
        <v>217</v>
      </c>
      <c r="E1" s="24" t="s">
        <v>55</v>
      </c>
      <c r="F1" s="24" t="s">
        <v>56</v>
      </c>
      <c r="G1" s="55" t="s">
        <v>242</v>
      </c>
      <c r="H1" s="24" t="s">
        <v>251</v>
      </c>
      <c r="I1" s="47" t="s">
        <v>247</v>
      </c>
      <c r="J1" s="50" t="s">
        <v>22</v>
      </c>
      <c r="K1" s="48" t="s">
        <v>235</v>
      </c>
      <c r="L1" s="24" t="s">
        <v>236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237</v>
      </c>
      <c r="R1" s="24" t="s">
        <v>238</v>
      </c>
      <c r="S1" s="24" t="s">
        <v>239</v>
      </c>
      <c r="T1" s="24" t="s">
        <v>240</v>
      </c>
      <c r="U1" s="24" t="s">
        <v>213</v>
      </c>
      <c r="V1" s="24" t="s">
        <v>214</v>
      </c>
    </row>
    <row r="2" spans="1:22" s="37" customFormat="1" ht="72" customHeight="1">
      <c r="A2" s="54" t="s">
        <v>241</v>
      </c>
      <c r="B2" s="36"/>
      <c r="C2" s="36" t="s">
        <v>215</v>
      </c>
      <c r="D2" s="42" t="s">
        <v>218</v>
      </c>
      <c r="E2" s="28" t="s">
        <v>234</v>
      </c>
      <c r="F2" s="28" t="s">
        <v>219</v>
      </c>
      <c r="G2" s="28" t="s">
        <v>246</v>
      </c>
      <c r="H2" s="28"/>
      <c r="I2" s="53" t="s">
        <v>233</v>
      </c>
      <c r="J2" s="56"/>
      <c r="K2" s="49"/>
      <c r="L2" s="36"/>
      <c r="M2" s="36"/>
      <c r="N2" s="36"/>
      <c r="O2" s="36"/>
      <c r="P2" s="36"/>
      <c r="Q2" s="36"/>
      <c r="R2" s="36"/>
      <c r="S2" s="36"/>
      <c r="T2" s="36"/>
      <c r="U2" s="28" t="s">
        <v>386</v>
      </c>
      <c r="V2" s="28" t="s">
        <v>387</v>
      </c>
    </row>
    <row r="3" spans="1:22" s="33" customFormat="1" ht="18.75" customHeight="1">
      <c r="A3" s="25" t="s">
        <v>23</v>
      </c>
      <c r="B3" s="25" t="s">
        <v>45</v>
      </c>
      <c r="C3" s="25"/>
      <c r="D3" s="43" t="s">
        <v>24</v>
      </c>
      <c r="E3" s="25" t="s">
        <v>248</v>
      </c>
      <c r="F3" s="25" t="s">
        <v>249</v>
      </c>
      <c r="G3" s="25" t="s">
        <v>50</v>
      </c>
      <c r="H3" s="25" t="s">
        <v>252</v>
      </c>
      <c r="I3" s="25" t="s">
        <v>46</v>
      </c>
      <c r="J3" s="57"/>
      <c r="K3" s="25" t="s">
        <v>244</v>
      </c>
      <c r="L3" s="25" t="s">
        <v>245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22" s="33" customFormat="1" ht="18.75" customHeight="1">
      <c r="A4" s="25" t="s">
        <v>212</v>
      </c>
      <c r="B4" s="25" t="s">
        <v>43</v>
      </c>
      <c r="C4" s="25"/>
      <c r="D4" s="43" t="s">
        <v>21</v>
      </c>
      <c r="E4" s="25" t="s">
        <v>57</v>
      </c>
      <c r="F4" s="25" t="s">
        <v>57</v>
      </c>
      <c r="G4" s="25" t="s">
        <v>19</v>
      </c>
      <c r="H4" s="25" t="s">
        <v>196</v>
      </c>
      <c r="I4" s="25" t="s">
        <v>19</v>
      </c>
      <c r="J4" s="57"/>
      <c r="K4" s="25" t="s">
        <v>243</v>
      </c>
      <c r="L4" s="25" t="s">
        <v>243</v>
      </c>
      <c r="M4" s="25" t="s">
        <v>243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22" ht="18.75" customHeight="1">
      <c r="A5" s="4">
        <f>ROW()</f>
        <v>5</v>
      </c>
      <c r="B5" s="27">
        <v>21701</v>
      </c>
      <c r="C5" s="26" t="s">
        <v>395</v>
      </c>
      <c r="D5" s="31">
        <v>1.62</v>
      </c>
      <c r="E5" s="27">
        <v>1</v>
      </c>
      <c r="F5" s="27"/>
      <c r="G5" s="27"/>
      <c r="H5" s="34" t="s">
        <v>396</v>
      </c>
      <c r="I5" s="26">
        <f>IF(ISBLANK(J5),"",VLOOKUP(J5,定义!D:E,2,FALSE))</f>
        <v>31</v>
      </c>
      <c r="J5" s="51" t="s">
        <v>397</v>
      </c>
      <c r="K5" s="29">
        <v>200</v>
      </c>
      <c r="L5" s="29">
        <v>600</v>
      </c>
      <c r="M5" s="29">
        <v>-70</v>
      </c>
      <c r="N5" s="29">
        <v>300</v>
      </c>
      <c r="O5" s="29">
        <v>-85</v>
      </c>
      <c r="P5" s="29">
        <v>85</v>
      </c>
      <c r="Q5" s="29"/>
      <c r="R5" s="29"/>
      <c r="S5" s="29"/>
      <c r="T5" s="29"/>
      <c r="U5" s="30"/>
      <c r="V5" s="30"/>
    </row>
    <row r="6" spans="1:22" ht="18.75" customHeight="1">
      <c r="A6" s="4">
        <f>ROW()</f>
        <v>6</v>
      </c>
      <c r="B6" s="27">
        <v>21701</v>
      </c>
      <c r="C6" s="26"/>
      <c r="D6" s="31">
        <v>1.62</v>
      </c>
      <c r="E6" s="27">
        <v>1</v>
      </c>
      <c r="F6" s="27"/>
      <c r="G6" s="26"/>
      <c r="H6" s="34" t="s">
        <v>398</v>
      </c>
      <c r="I6" s="26">
        <f>IF(ISBLANK(J6),"",VLOOKUP(J6,定义!D:E,2,FALSE))</f>
        <v>1</v>
      </c>
      <c r="J6" s="51" t="s">
        <v>399</v>
      </c>
      <c r="K6" s="29">
        <v>0</v>
      </c>
      <c r="L6" s="29">
        <v>1</v>
      </c>
      <c r="M6" s="29"/>
      <c r="N6" s="29"/>
      <c r="O6" s="29"/>
      <c r="P6" s="29"/>
      <c r="Q6" s="29"/>
      <c r="R6" s="29"/>
      <c r="S6" s="29"/>
      <c r="T6" s="29"/>
      <c r="U6" s="30"/>
      <c r="V6" s="30"/>
    </row>
    <row r="7" spans="1:22" ht="18.75" customHeight="1">
      <c r="A7" s="4">
        <f>ROW()</f>
        <v>7</v>
      </c>
      <c r="B7" s="27">
        <v>21701</v>
      </c>
      <c r="C7" s="26"/>
      <c r="D7" s="31">
        <v>1.55</v>
      </c>
      <c r="E7" s="27">
        <v>1</v>
      </c>
      <c r="F7" s="27"/>
      <c r="G7" s="26"/>
      <c r="H7" s="34"/>
      <c r="I7" s="26">
        <f>IF(ISBLANK(J7),"",VLOOKUP(J7,定义!D:E,2,FALSE))</f>
        <v>16</v>
      </c>
      <c r="J7" s="51" t="s">
        <v>390</v>
      </c>
      <c r="K7" s="29">
        <v>5</v>
      </c>
      <c r="L7" s="29">
        <v>0</v>
      </c>
      <c r="M7" s="29">
        <v>2</v>
      </c>
      <c r="N7" s="29">
        <v>90</v>
      </c>
      <c r="O7" s="29">
        <v>0.2</v>
      </c>
      <c r="P7" s="29">
        <v>0</v>
      </c>
      <c r="Q7" s="29">
        <v>1</v>
      </c>
      <c r="R7" s="29">
        <v>1</v>
      </c>
      <c r="S7" s="29"/>
      <c r="T7" s="29"/>
      <c r="U7" s="30"/>
      <c r="V7" s="30"/>
    </row>
    <row r="8" spans="1:22" s="32" customFormat="1" ht="18.75" customHeight="1">
      <c r="A8" s="27" t="s">
        <v>400</v>
      </c>
      <c r="B8" s="27"/>
      <c r="C8" s="27"/>
      <c r="D8" s="31"/>
      <c r="E8" s="27"/>
      <c r="F8" s="27"/>
      <c r="G8" s="27"/>
      <c r="H8" s="35"/>
      <c r="I8" s="26" t="str">
        <f>IF(ISBLANK(J8),"",VLOOKUP(J8,定义!D:E,2,FALSE))</f>
        <v/>
      </c>
      <c r="J8" s="51"/>
      <c r="K8" s="29"/>
      <c r="L8" s="29"/>
      <c r="M8" s="29"/>
      <c r="N8" s="29"/>
      <c r="O8" s="29"/>
      <c r="P8" s="29"/>
      <c r="Q8" s="29"/>
      <c r="R8" s="29"/>
      <c r="S8" s="29"/>
      <c r="T8" s="29"/>
      <c r="U8" s="30"/>
      <c r="V8" s="30"/>
    </row>
    <row r="9" spans="1:22" ht="18.75" customHeight="1">
      <c r="A9" s="4">
        <f>ROW()</f>
        <v>9</v>
      </c>
      <c r="B9" s="27">
        <v>21702</v>
      </c>
      <c r="C9" s="26" t="s">
        <v>401</v>
      </c>
      <c r="D9" s="31">
        <v>0.5</v>
      </c>
      <c r="E9" s="27">
        <v>0</v>
      </c>
      <c r="F9" s="27"/>
      <c r="G9" s="27"/>
      <c r="H9" s="34"/>
      <c r="I9" s="26">
        <f>IF(ISBLANK(J9),"",VLOOKUP(J9,定义!D:E,2,FALSE))</f>
        <v>11</v>
      </c>
      <c r="J9" s="51" t="s">
        <v>51</v>
      </c>
      <c r="K9" s="29">
        <v>200</v>
      </c>
      <c r="L9" s="29">
        <v>0</v>
      </c>
      <c r="M9" s="29">
        <v>0.65</v>
      </c>
      <c r="N9" s="29"/>
      <c r="O9" s="29"/>
      <c r="P9" s="29"/>
      <c r="Q9" s="29"/>
      <c r="R9" s="29"/>
      <c r="S9" s="29"/>
      <c r="T9" s="29"/>
      <c r="U9" s="30"/>
      <c r="V9" s="30"/>
    </row>
    <row r="10" spans="1:22" ht="18.75" customHeight="1">
      <c r="A10" s="4">
        <f>ROW()</f>
        <v>10</v>
      </c>
      <c r="B10" s="27">
        <v>21702</v>
      </c>
      <c r="C10" s="26"/>
      <c r="D10" s="31">
        <v>1.18</v>
      </c>
      <c r="E10" s="27">
        <v>1</v>
      </c>
      <c r="F10" s="27"/>
      <c r="G10" s="26"/>
      <c r="H10" s="34" t="s">
        <v>396</v>
      </c>
      <c r="I10" s="26">
        <f>IF(ISBLANK(J10),"",VLOOKUP(J10,定义!D:E,2,FALSE))</f>
        <v>31</v>
      </c>
      <c r="J10" s="51" t="s">
        <v>397</v>
      </c>
      <c r="K10" s="29">
        <v>-250</v>
      </c>
      <c r="L10" s="29">
        <v>250</v>
      </c>
      <c r="M10" s="29">
        <v>-70</v>
      </c>
      <c r="N10" s="29">
        <v>300</v>
      </c>
      <c r="O10" s="29">
        <v>-85</v>
      </c>
      <c r="P10" s="29">
        <v>85</v>
      </c>
      <c r="Q10" s="29"/>
      <c r="R10" s="29"/>
      <c r="S10" s="29"/>
      <c r="T10" s="29"/>
      <c r="U10" s="30"/>
      <c r="V10" s="30"/>
    </row>
    <row r="11" spans="1:22" ht="18.75" customHeight="1">
      <c r="A11" s="4">
        <f>ROW()</f>
        <v>11</v>
      </c>
      <c r="B11" s="27">
        <v>21702</v>
      </c>
      <c r="C11" s="26"/>
      <c r="D11" s="31">
        <v>1.18</v>
      </c>
      <c r="E11" s="27">
        <v>1</v>
      </c>
      <c r="F11" s="27"/>
      <c r="G11" s="26"/>
      <c r="H11" s="34" t="s">
        <v>398</v>
      </c>
      <c r="I11" s="26">
        <f>IF(ISBLANK(J11),"",VLOOKUP(J11,定义!D:E,2,FALSE))</f>
        <v>1</v>
      </c>
      <c r="J11" s="51" t="s">
        <v>399</v>
      </c>
      <c r="K11" s="29">
        <v>300</v>
      </c>
      <c r="L11" s="29">
        <v>1</v>
      </c>
      <c r="M11" s="29"/>
      <c r="N11" s="29"/>
      <c r="O11" s="29"/>
      <c r="P11" s="29"/>
      <c r="Q11" s="29"/>
      <c r="R11" s="29"/>
      <c r="S11" s="29"/>
      <c r="T11" s="29"/>
      <c r="U11" s="30"/>
      <c r="V11" s="30"/>
    </row>
    <row r="12" spans="1:22" s="32" customFormat="1" ht="18.75" customHeight="1">
      <c r="A12" s="4">
        <f>ROW()</f>
        <v>12</v>
      </c>
      <c r="B12" s="27">
        <v>21702</v>
      </c>
      <c r="C12" s="27"/>
      <c r="D12" s="31">
        <v>1.18</v>
      </c>
      <c r="E12" s="27">
        <v>2</v>
      </c>
      <c r="F12" s="27"/>
      <c r="G12" s="27"/>
      <c r="H12" s="35" t="s">
        <v>396</v>
      </c>
      <c r="I12" s="26">
        <f>IF(ISBLANK(J12),"",VLOOKUP(J12,定义!D:E,2,FALSE))</f>
        <v>31</v>
      </c>
      <c r="J12" s="51" t="s">
        <v>397</v>
      </c>
      <c r="K12" s="29">
        <v>0</v>
      </c>
      <c r="L12" s="29">
        <v>250</v>
      </c>
      <c r="M12" s="29">
        <v>-70</v>
      </c>
      <c r="N12" s="29">
        <v>300</v>
      </c>
      <c r="O12" s="29">
        <v>-85</v>
      </c>
      <c r="P12" s="29">
        <v>85</v>
      </c>
      <c r="Q12" s="29"/>
      <c r="R12" s="29"/>
      <c r="S12" s="29"/>
      <c r="T12" s="29"/>
      <c r="U12" s="30"/>
      <c r="V12" s="30"/>
    </row>
    <row r="13" spans="1:22" ht="18.75" customHeight="1">
      <c r="A13" s="4">
        <f>ROW()</f>
        <v>13</v>
      </c>
      <c r="B13" s="27">
        <v>21702</v>
      </c>
      <c r="C13" s="26"/>
      <c r="D13" s="31">
        <v>1.18</v>
      </c>
      <c r="E13" s="27">
        <v>2</v>
      </c>
      <c r="F13" s="27"/>
      <c r="G13" s="27"/>
      <c r="H13" s="34" t="s">
        <v>402</v>
      </c>
      <c r="I13" s="26">
        <f>IF(ISBLANK(J13),"",VLOOKUP(J13,定义!D:E,2,FALSE))</f>
        <v>7</v>
      </c>
      <c r="J13" s="51" t="s">
        <v>391</v>
      </c>
      <c r="K13" s="29">
        <v>150</v>
      </c>
      <c r="L13" s="29">
        <v>0</v>
      </c>
      <c r="M13" s="29">
        <v>0.1</v>
      </c>
      <c r="N13" s="29"/>
      <c r="O13" s="29"/>
      <c r="P13" s="29"/>
      <c r="Q13" s="29"/>
      <c r="R13" s="29"/>
      <c r="S13" s="29"/>
      <c r="T13" s="29"/>
      <c r="U13" s="30"/>
      <c r="V13" s="30"/>
    </row>
    <row r="14" spans="1:22" ht="18.75" customHeight="1">
      <c r="A14" s="4">
        <f>ROW()</f>
        <v>14</v>
      </c>
      <c r="B14" s="27">
        <v>21702</v>
      </c>
      <c r="C14" s="26"/>
      <c r="D14" s="31">
        <v>1.18</v>
      </c>
      <c r="E14" s="27">
        <v>3</v>
      </c>
      <c r="F14" s="27"/>
      <c r="G14" s="26"/>
      <c r="H14" s="34" t="s">
        <v>396</v>
      </c>
      <c r="I14" s="26">
        <f>IF(ISBLANK(J14),"",VLOOKUP(J14,定义!D:E,2,FALSE))</f>
        <v>31</v>
      </c>
      <c r="J14" s="51" t="s">
        <v>397</v>
      </c>
      <c r="K14" s="29">
        <v>-250</v>
      </c>
      <c r="L14" s="29">
        <v>0</v>
      </c>
      <c r="M14" s="29">
        <v>-70</v>
      </c>
      <c r="N14" s="29">
        <v>300</v>
      </c>
      <c r="O14" s="29">
        <v>-85</v>
      </c>
      <c r="P14" s="29">
        <v>85</v>
      </c>
      <c r="Q14" s="29"/>
      <c r="R14" s="29"/>
      <c r="S14" s="29"/>
      <c r="T14" s="29"/>
      <c r="U14" s="30"/>
      <c r="V14" s="30"/>
    </row>
    <row r="15" spans="1:22" s="32" customFormat="1" ht="18.75" customHeight="1">
      <c r="A15" s="4">
        <f>ROW()</f>
        <v>15</v>
      </c>
      <c r="B15" s="27">
        <v>21702</v>
      </c>
      <c r="C15" s="27"/>
      <c r="D15" s="31">
        <v>1.18</v>
      </c>
      <c r="E15" s="27">
        <v>3</v>
      </c>
      <c r="F15" s="27"/>
      <c r="G15" s="27"/>
      <c r="H15" s="35" t="s">
        <v>402</v>
      </c>
      <c r="I15" s="26">
        <f>IF(ISBLANK(J15),"",VLOOKUP(J15,定义!D:E,2,FALSE))</f>
        <v>7</v>
      </c>
      <c r="J15" s="51" t="s">
        <v>391</v>
      </c>
      <c r="K15" s="29">
        <v>-150</v>
      </c>
      <c r="L15" s="29">
        <v>0</v>
      </c>
      <c r="M15" s="29">
        <v>0.1</v>
      </c>
      <c r="N15" s="29"/>
      <c r="O15" s="29"/>
      <c r="P15" s="29"/>
      <c r="Q15" s="29"/>
      <c r="R15" s="29"/>
      <c r="S15" s="29"/>
      <c r="T15" s="29"/>
      <c r="U15" s="30"/>
      <c r="V15" s="30"/>
    </row>
    <row r="16" spans="1:22" ht="18.75" customHeight="1">
      <c r="A16" s="4">
        <f>ROW()</f>
        <v>16</v>
      </c>
      <c r="B16" s="27">
        <v>21702</v>
      </c>
      <c r="C16" s="26"/>
      <c r="D16" s="31">
        <v>1.17</v>
      </c>
      <c r="E16" s="27">
        <v>1</v>
      </c>
      <c r="F16" s="27"/>
      <c r="G16" s="27"/>
      <c r="H16" s="34"/>
      <c r="I16" s="26">
        <f>IF(ISBLANK(J16),"",VLOOKUP(J16,定义!D:E,2,FALSE))</f>
        <v>16</v>
      </c>
      <c r="J16" s="51" t="s">
        <v>390</v>
      </c>
      <c r="K16" s="29">
        <v>9</v>
      </c>
      <c r="L16" s="29">
        <v>0</v>
      </c>
      <c r="M16" s="29">
        <v>3</v>
      </c>
      <c r="N16" s="29">
        <v>90</v>
      </c>
      <c r="O16" s="29">
        <v>0.4</v>
      </c>
      <c r="P16" s="29">
        <v>0</v>
      </c>
      <c r="Q16" s="29">
        <v>1</v>
      </c>
      <c r="R16" s="29">
        <v>1</v>
      </c>
      <c r="S16" s="29"/>
      <c r="T16" s="29"/>
      <c r="U16" s="30"/>
      <c r="V16" s="30"/>
    </row>
    <row r="17" spans="1:22" ht="18.75" customHeight="1">
      <c r="A17" s="26" t="s">
        <v>400</v>
      </c>
      <c r="B17" s="27"/>
      <c r="C17" s="26"/>
      <c r="D17" s="31"/>
      <c r="E17" s="27"/>
      <c r="F17" s="27"/>
      <c r="G17" s="26"/>
      <c r="H17" s="34"/>
      <c r="I17" s="26" t="str">
        <f>IF(ISBLANK(J17),"",VLOOKUP(J17,定义!D:E,2,FALSE))</f>
        <v/>
      </c>
      <c r="J17" s="51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30"/>
      <c r="V17" s="30"/>
    </row>
    <row r="18" spans="1:22" ht="18.75" customHeight="1">
      <c r="A18" s="27" t="s">
        <v>400</v>
      </c>
      <c r="B18" s="27">
        <v>21703</v>
      </c>
      <c r="C18" s="26" t="s">
        <v>403</v>
      </c>
      <c r="D18" s="31">
        <v>0</v>
      </c>
      <c r="E18" s="27">
        <v>0</v>
      </c>
      <c r="F18" s="27"/>
      <c r="G18" s="26"/>
      <c r="H18" s="34"/>
      <c r="I18" s="26">
        <f>IF(ISBLANK(J18),"",VLOOKUP(J18,定义!D:E,2,FALSE))</f>
        <v>14</v>
      </c>
      <c r="J18" s="51" t="s">
        <v>392</v>
      </c>
      <c r="K18" s="29" t="s">
        <v>404</v>
      </c>
      <c r="L18" s="29">
        <v>1.2</v>
      </c>
      <c r="M18" s="29">
        <v>0</v>
      </c>
      <c r="N18" s="29" t="s">
        <v>405</v>
      </c>
      <c r="O18" s="29"/>
      <c r="P18" s="29"/>
      <c r="Q18" s="29"/>
      <c r="R18" s="29"/>
      <c r="S18" s="29"/>
      <c r="T18" s="29"/>
      <c r="U18" s="30"/>
      <c r="V18" s="30"/>
    </row>
    <row r="19" spans="1:22" ht="18.75" customHeight="1">
      <c r="A19" s="27" t="s">
        <v>400</v>
      </c>
      <c r="B19" s="4">
        <v>21703</v>
      </c>
      <c r="D19" s="44">
        <v>0</v>
      </c>
      <c r="E19" s="4">
        <v>0</v>
      </c>
      <c r="I19" s="26">
        <f>IF(ISBLANK(J19),"",VLOOKUP(J19,定义!D:E,2,FALSE))</f>
        <v>14</v>
      </c>
      <c r="J19" s="52" t="s">
        <v>392</v>
      </c>
      <c r="K19" s="32" t="s">
        <v>404</v>
      </c>
      <c r="L19" s="32">
        <v>1.2</v>
      </c>
      <c r="M19" s="32">
        <v>0</v>
      </c>
      <c r="N19" s="32" t="s">
        <v>406</v>
      </c>
    </row>
    <row r="20" spans="1:22" ht="18.75" customHeight="1">
      <c r="A20" s="27" t="s">
        <v>400</v>
      </c>
      <c r="B20" s="4">
        <v>21703</v>
      </c>
      <c r="D20" s="44">
        <v>0</v>
      </c>
      <c r="E20" s="4">
        <v>0</v>
      </c>
      <c r="I20" s="26">
        <f>IF(ISBLANK(J20),"",VLOOKUP(J20,定义!D:E,2,FALSE))</f>
        <v>14</v>
      </c>
      <c r="J20" s="52" t="s">
        <v>392</v>
      </c>
      <c r="K20" s="32" t="s">
        <v>404</v>
      </c>
      <c r="L20" s="32">
        <v>1.2</v>
      </c>
      <c r="M20" s="32">
        <v>0</v>
      </c>
      <c r="N20" s="32" t="s">
        <v>407</v>
      </c>
    </row>
    <row r="21" spans="1:22" ht="18.75" customHeight="1">
      <c r="A21" s="27" t="s">
        <v>400</v>
      </c>
      <c r="B21" s="4">
        <v>21703</v>
      </c>
      <c r="D21" s="44">
        <v>0</v>
      </c>
      <c r="E21" s="4">
        <v>0</v>
      </c>
      <c r="I21" s="26">
        <f>IF(ISBLANK(J21),"",VLOOKUP(J21,定义!D:E,2,FALSE))</f>
        <v>14</v>
      </c>
      <c r="J21" s="52" t="s">
        <v>392</v>
      </c>
      <c r="K21" s="32" t="s">
        <v>404</v>
      </c>
      <c r="L21" s="32">
        <v>1.2</v>
      </c>
      <c r="M21" s="32">
        <v>0</v>
      </c>
      <c r="N21" s="32" t="s">
        <v>408</v>
      </c>
    </row>
    <row r="22" spans="1:22" ht="18.75" customHeight="1">
      <c r="A22" s="4">
        <f>ROW()</f>
        <v>22</v>
      </c>
      <c r="B22" s="4">
        <v>21703</v>
      </c>
      <c r="D22" s="44">
        <v>1</v>
      </c>
      <c r="E22" s="4">
        <v>0</v>
      </c>
      <c r="I22" s="26">
        <f>IF(ISBLANK(J22),"",VLOOKUP(J22,定义!D:E,2,FALSE))</f>
        <v>35</v>
      </c>
      <c r="J22" s="52" t="s">
        <v>413</v>
      </c>
      <c r="K22" s="32">
        <v>1.7</v>
      </c>
      <c r="L22" s="32">
        <v>0</v>
      </c>
      <c r="M22" s="32">
        <v>0</v>
      </c>
      <c r="N22" s="32">
        <v>0</v>
      </c>
    </row>
    <row r="23" spans="1:22" ht="18.75" customHeight="1">
      <c r="A23" s="4">
        <f>ROW()</f>
        <v>23</v>
      </c>
      <c r="B23" s="4">
        <v>21703</v>
      </c>
      <c r="C23" s="4" t="s">
        <v>497</v>
      </c>
      <c r="D23" s="44">
        <v>0.7</v>
      </c>
      <c r="E23" s="4">
        <v>0</v>
      </c>
      <c r="I23" s="26">
        <f>IF(ISBLANK(J23),"",VLOOKUP(J23,定义!D:E,2,FALSE))</f>
        <v>14</v>
      </c>
      <c r="J23" s="52" t="s">
        <v>392</v>
      </c>
      <c r="K23" s="32" t="s">
        <v>412</v>
      </c>
      <c r="L23" s="32">
        <v>0.5</v>
      </c>
      <c r="M23" s="32">
        <v>0</v>
      </c>
      <c r="N23" s="32" t="s">
        <v>405</v>
      </c>
    </row>
    <row r="24" spans="1:22" ht="18.75" customHeight="1">
      <c r="A24" s="4">
        <f>ROW()</f>
        <v>24</v>
      </c>
      <c r="B24" s="4">
        <v>21703</v>
      </c>
      <c r="D24" s="44">
        <v>1.1000000000000001</v>
      </c>
      <c r="E24" s="4">
        <v>0</v>
      </c>
      <c r="I24" s="26">
        <f>IF(ISBLANK(J24),"",VLOOKUP(J24,定义!D:E,2,FALSE))</f>
        <v>15</v>
      </c>
      <c r="J24" s="52" t="s">
        <v>393</v>
      </c>
      <c r="K24" s="32">
        <v>18</v>
      </c>
      <c r="L24" s="32">
        <v>1</v>
      </c>
      <c r="M24" s="32" t="s">
        <v>409</v>
      </c>
      <c r="N24" s="32">
        <v>0</v>
      </c>
      <c r="O24" s="32">
        <v>215030001</v>
      </c>
      <c r="P24" s="32">
        <v>1</v>
      </c>
    </row>
    <row r="25" spans="1:22" ht="18.75" customHeight="1">
      <c r="A25" s="4">
        <f>ROW()</f>
        <v>25</v>
      </c>
      <c r="B25" s="4">
        <v>21703</v>
      </c>
      <c r="C25" s="4" t="s">
        <v>410</v>
      </c>
      <c r="D25" s="44">
        <v>2.0499999999999998</v>
      </c>
      <c r="E25" s="4">
        <v>0</v>
      </c>
      <c r="I25" s="26">
        <f>IF(ISBLANK(J25),"",VLOOKUP(J25,定义!D:E,2,FALSE))</f>
        <v>14</v>
      </c>
      <c r="J25" s="52" t="s">
        <v>392</v>
      </c>
      <c r="K25" s="32" t="s">
        <v>394</v>
      </c>
      <c r="L25" s="32">
        <v>1</v>
      </c>
      <c r="M25" s="32">
        <v>1</v>
      </c>
      <c r="N25" s="32" t="s">
        <v>503</v>
      </c>
    </row>
    <row r="26" spans="1:22" ht="18.75" customHeight="1">
      <c r="A26" s="4">
        <f>ROW()</f>
        <v>26</v>
      </c>
      <c r="B26" s="4">
        <v>21703</v>
      </c>
      <c r="C26" s="4" t="s">
        <v>411</v>
      </c>
      <c r="D26" s="44">
        <v>2.4</v>
      </c>
      <c r="E26" s="4">
        <v>0</v>
      </c>
      <c r="I26" s="26">
        <f>IF(ISBLANK(J26),"",VLOOKUP(J26,定义!D:E,2,FALSE))</f>
        <v>14</v>
      </c>
      <c r="J26" s="52" t="s">
        <v>392</v>
      </c>
      <c r="K26" s="32" t="s">
        <v>412</v>
      </c>
      <c r="L26" s="32">
        <v>0.5</v>
      </c>
      <c r="M26" s="32">
        <v>1</v>
      </c>
      <c r="N26" s="32" t="s">
        <v>405</v>
      </c>
    </row>
    <row r="27" spans="1:22" ht="18.75" customHeight="1">
      <c r="A27" s="4">
        <f>ROW()</f>
        <v>27</v>
      </c>
      <c r="B27" s="4">
        <v>21703</v>
      </c>
      <c r="D27" s="44">
        <v>2.15</v>
      </c>
      <c r="E27" s="4">
        <v>1</v>
      </c>
      <c r="H27" s="4" t="s">
        <v>396</v>
      </c>
      <c r="I27" s="26">
        <f>IF(ISBLANK(J27),"",VLOOKUP(J27,定义!D:E,2,FALSE))</f>
        <v>31</v>
      </c>
      <c r="J27" s="52" t="s">
        <v>397</v>
      </c>
      <c r="K27" s="32">
        <v>-100</v>
      </c>
      <c r="L27" s="32">
        <v>550</v>
      </c>
      <c r="M27" s="32">
        <v>-70</v>
      </c>
      <c r="N27" s="32">
        <v>300</v>
      </c>
      <c r="O27" s="32">
        <v>-100</v>
      </c>
      <c r="P27" s="32">
        <v>100</v>
      </c>
      <c r="U27" s="4">
        <v>1</v>
      </c>
      <c r="V27" s="4">
        <v>0.1</v>
      </c>
    </row>
    <row r="28" spans="1:22" ht="18.75" customHeight="1">
      <c r="A28" s="4">
        <f>ROW()</f>
        <v>28</v>
      </c>
      <c r="B28" s="4">
        <v>21703</v>
      </c>
      <c r="D28" s="44">
        <v>2.15</v>
      </c>
      <c r="E28" s="4">
        <v>1</v>
      </c>
      <c r="H28" s="4" t="s">
        <v>398</v>
      </c>
      <c r="I28" s="26">
        <f>IF(ISBLANK(J28),"",VLOOKUP(J28,定义!D:E,2,FALSE))</f>
        <v>1</v>
      </c>
      <c r="J28" s="52" t="s">
        <v>399</v>
      </c>
      <c r="K28" s="32">
        <v>0</v>
      </c>
      <c r="L28" s="32">
        <v>2</v>
      </c>
      <c r="U28" s="4">
        <v>1</v>
      </c>
      <c r="V28" s="4">
        <v>0.1</v>
      </c>
    </row>
    <row r="29" spans="1:22" ht="18.75" customHeight="1">
      <c r="A29" s="4">
        <f>ROW()</f>
        <v>29</v>
      </c>
      <c r="B29" s="4">
        <v>21703</v>
      </c>
      <c r="D29" s="44">
        <v>2.15</v>
      </c>
      <c r="E29" s="4">
        <v>1</v>
      </c>
      <c r="H29" s="4" t="s">
        <v>402</v>
      </c>
      <c r="I29" s="26">
        <f>IF(ISBLANK(J29),"",VLOOKUP(J29,定义!D:E,2,FALSE))</f>
        <v>7</v>
      </c>
      <c r="J29" s="52" t="s">
        <v>391</v>
      </c>
      <c r="K29" s="32">
        <v>200</v>
      </c>
      <c r="L29" s="32">
        <v>0</v>
      </c>
      <c r="M29" s="32">
        <v>0.3</v>
      </c>
      <c r="U29" s="4">
        <v>1</v>
      </c>
      <c r="V29" s="4">
        <v>0.1</v>
      </c>
    </row>
    <row r="30" spans="1:22" ht="18.75" customHeight="1">
      <c r="A30" s="4">
        <f>ROW()</f>
        <v>30</v>
      </c>
      <c r="B30" s="4">
        <v>21703</v>
      </c>
      <c r="D30" s="44">
        <v>2.15</v>
      </c>
      <c r="E30" s="4">
        <v>0</v>
      </c>
      <c r="I30" s="26">
        <f>IF(ISBLANK(J30),"",VLOOKUP(J30,定义!D:E,2,FALSE))</f>
        <v>11</v>
      </c>
      <c r="J30" s="52" t="s">
        <v>51</v>
      </c>
      <c r="K30" s="32">
        <v>600</v>
      </c>
      <c r="L30" s="32">
        <v>0</v>
      </c>
      <c r="M30" s="32">
        <v>0.2</v>
      </c>
    </row>
    <row r="31" spans="1:22" ht="18.75" customHeight="1">
      <c r="A31" s="4">
        <f>ROW()</f>
        <v>31</v>
      </c>
      <c r="B31" s="4">
        <v>21703</v>
      </c>
      <c r="D31" s="44">
        <v>2.15</v>
      </c>
      <c r="E31" s="4">
        <v>0</v>
      </c>
      <c r="I31" s="26">
        <f>IF(ISBLANK(J31),"",VLOOKUP(J31,定义!D:E,2,FALSE))</f>
        <v>16</v>
      </c>
      <c r="J31" s="52" t="s">
        <v>390</v>
      </c>
      <c r="K31" s="32">
        <v>10</v>
      </c>
      <c r="L31" s="32">
        <v>0</v>
      </c>
      <c r="M31" s="32">
        <v>4</v>
      </c>
      <c r="N31" s="32">
        <v>90</v>
      </c>
      <c r="O31" s="32">
        <v>0.5</v>
      </c>
      <c r="P31" s="32">
        <v>0</v>
      </c>
      <c r="Q31" s="32">
        <v>1</v>
      </c>
      <c r="R31" s="32">
        <v>1</v>
      </c>
    </row>
    <row r="34" spans="1:22" ht="18.75" customHeight="1">
      <c r="A34" s="4">
        <f>ROW()</f>
        <v>34</v>
      </c>
      <c r="B34" s="27">
        <v>76101</v>
      </c>
      <c r="C34" s="26" t="s">
        <v>395</v>
      </c>
      <c r="D34" s="31">
        <v>1.62</v>
      </c>
      <c r="E34" s="27">
        <v>1</v>
      </c>
      <c r="F34" s="27"/>
      <c r="G34" s="27"/>
      <c r="H34" s="34" t="s">
        <v>396</v>
      </c>
      <c r="I34" s="26">
        <f>IF(ISBLANK(J34),"",VLOOKUP(J34,定义!D:E,2,FALSE))</f>
        <v>31</v>
      </c>
      <c r="J34" s="51" t="s">
        <v>397</v>
      </c>
      <c r="K34" s="29">
        <v>200</v>
      </c>
      <c r="L34" s="29">
        <v>600</v>
      </c>
      <c r="M34" s="29">
        <v>-70</v>
      </c>
      <c r="N34" s="29">
        <v>300</v>
      </c>
      <c r="O34" s="29">
        <v>-85</v>
      </c>
      <c r="P34" s="29">
        <v>85</v>
      </c>
      <c r="Q34" s="29"/>
      <c r="R34" s="29"/>
      <c r="S34" s="29"/>
      <c r="T34" s="29"/>
      <c r="U34" s="30"/>
      <c r="V34" s="30"/>
    </row>
    <row r="35" spans="1:22" ht="18.75" customHeight="1">
      <c r="A35" s="4">
        <f>ROW()</f>
        <v>35</v>
      </c>
      <c r="B35" s="27">
        <v>76101</v>
      </c>
      <c r="C35" s="26"/>
      <c r="D35" s="31">
        <v>1.62</v>
      </c>
      <c r="E35" s="27">
        <v>1</v>
      </c>
      <c r="F35" s="27"/>
      <c r="G35" s="26"/>
      <c r="H35" s="34" t="s">
        <v>398</v>
      </c>
      <c r="I35" s="26">
        <f>IF(ISBLANK(J35),"",VLOOKUP(J35,定义!D:E,2,FALSE))</f>
        <v>1</v>
      </c>
      <c r="J35" s="51" t="s">
        <v>399</v>
      </c>
      <c r="K35" s="29">
        <v>0</v>
      </c>
      <c r="L35" s="29">
        <v>1</v>
      </c>
      <c r="M35" s="29"/>
      <c r="N35" s="29"/>
      <c r="O35" s="29"/>
      <c r="P35" s="29"/>
      <c r="Q35" s="29"/>
      <c r="R35" s="29"/>
      <c r="S35" s="29"/>
      <c r="T35" s="29"/>
      <c r="U35" s="30"/>
      <c r="V35" s="30"/>
    </row>
    <row r="36" spans="1:22" ht="18.75" customHeight="1">
      <c r="A36" s="4">
        <f>ROW()</f>
        <v>36</v>
      </c>
      <c r="B36" s="27">
        <v>76101</v>
      </c>
      <c r="C36" s="26"/>
      <c r="D36" s="31">
        <v>1.55</v>
      </c>
      <c r="E36" s="27">
        <v>1</v>
      </c>
      <c r="F36" s="27"/>
      <c r="G36" s="26"/>
      <c r="H36" s="34"/>
      <c r="I36" s="26">
        <f>IF(ISBLANK(J36),"",VLOOKUP(J36,定义!D:E,2,FALSE))</f>
        <v>16</v>
      </c>
      <c r="J36" s="51" t="s">
        <v>390</v>
      </c>
      <c r="K36" s="29">
        <v>5</v>
      </c>
      <c r="L36" s="29">
        <v>0</v>
      </c>
      <c r="M36" s="29">
        <v>2</v>
      </c>
      <c r="N36" s="29">
        <v>90</v>
      </c>
      <c r="O36" s="29">
        <v>0.2</v>
      </c>
      <c r="P36" s="29">
        <v>0</v>
      </c>
      <c r="Q36" s="29">
        <v>1</v>
      </c>
      <c r="R36" s="29">
        <v>1</v>
      </c>
      <c r="S36" s="29"/>
      <c r="T36" s="29"/>
      <c r="U36" s="30"/>
      <c r="V36" s="30"/>
    </row>
    <row r="37" spans="1:22" s="32" customFormat="1" ht="18.75" customHeight="1">
      <c r="A37" s="27" t="s">
        <v>400</v>
      </c>
      <c r="B37" s="27"/>
      <c r="C37" s="27"/>
      <c r="D37" s="31"/>
      <c r="E37" s="27"/>
      <c r="F37" s="27"/>
      <c r="G37" s="27"/>
      <c r="H37" s="35"/>
      <c r="I37" s="26" t="str">
        <f>IF(ISBLANK(J37),"",VLOOKUP(J37,定义!D:E,2,FALSE))</f>
        <v/>
      </c>
      <c r="J37" s="51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30"/>
      <c r="V37" s="30"/>
    </row>
    <row r="38" spans="1:22" ht="18.75" customHeight="1">
      <c r="A38" s="4">
        <f>ROW()</f>
        <v>38</v>
      </c>
      <c r="B38" s="27">
        <v>76102</v>
      </c>
      <c r="C38" s="26" t="s">
        <v>401</v>
      </c>
      <c r="D38" s="31">
        <v>0.5</v>
      </c>
      <c r="E38" s="27">
        <v>0</v>
      </c>
      <c r="F38" s="27"/>
      <c r="G38" s="27"/>
      <c r="H38" s="34"/>
      <c r="I38" s="26">
        <f>IF(ISBLANK(J38),"",VLOOKUP(J38,定义!D:E,2,FALSE))</f>
        <v>11</v>
      </c>
      <c r="J38" s="51" t="s">
        <v>51</v>
      </c>
      <c r="K38" s="29">
        <v>200</v>
      </c>
      <c r="L38" s="29">
        <v>0</v>
      </c>
      <c r="M38" s="29">
        <v>0.65</v>
      </c>
      <c r="N38" s="29"/>
      <c r="O38" s="29"/>
      <c r="P38" s="29"/>
      <c r="Q38" s="29"/>
      <c r="R38" s="29"/>
      <c r="S38" s="29"/>
      <c r="T38" s="29"/>
      <c r="U38" s="30"/>
      <c r="V38" s="30"/>
    </row>
    <row r="39" spans="1:22" ht="18.75" customHeight="1">
      <c r="A39" s="4">
        <f>ROW()</f>
        <v>39</v>
      </c>
      <c r="B39" s="27">
        <v>76102</v>
      </c>
      <c r="C39" s="26"/>
      <c r="D39" s="31">
        <v>1.18</v>
      </c>
      <c r="E39" s="27">
        <v>1</v>
      </c>
      <c r="F39" s="27"/>
      <c r="G39" s="26"/>
      <c r="H39" s="34" t="s">
        <v>396</v>
      </c>
      <c r="I39" s="26">
        <f>IF(ISBLANK(J39),"",VLOOKUP(J39,定义!D:E,2,FALSE))</f>
        <v>31</v>
      </c>
      <c r="J39" s="51" t="s">
        <v>397</v>
      </c>
      <c r="K39" s="29">
        <v>-250</v>
      </c>
      <c r="L39" s="29">
        <v>250</v>
      </c>
      <c r="M39" s="29">
        <v>-70</v>
      </c>
      <c r="N39" s="29">
        <v>300</v>
      </c>
      <c r="O39" s="29">
        <v>-85</v>
      </c>
      <c r="P39" s="29">
        <v>85</v>
      </c>
      <c r="Q39" s="29"/>
      <c r="R39" s="29"/>
      <c r="S39" s="29"/>
      <c r="T39" s="29"/>
      <c r="U39" s="30"/>
      <c r="V39" s="30"/>
    </row>
    <row r="40" spans="1:22" ht="18.75" customHeight="1">
      <c r="A40" s="4">
        <f>ROW()</f>
        <v>40</v>
      </c>
      <c r="B40" s="27">
        <v>76102</v>
      </c>
      <c r="C40" s="26"/>
      <c r="D40" s="31">
        <v>1.18</v>
      </c>
      <c r="E40" s="27">
        <v>1</v>
      </c>
      <c r="F40" s="27"/>
      <c r="G40" s="26"/>
      <c r="H40" s="34" t="s">
        <v>398</v>
      </c>
      <c r="I40" s="26">
        <f>IF(ISBLANK(J40),"",VLOOKUP(J40,定义!D:E,2,FALSE))</f>
        <v>1</v>
      </c>
      <c r="J40" s="51" t="s">
        <v>399</v>
      </c>
      <c r="K40" s="29">
        <v>300</v>
      </c>
      <c r="L40" s="29">
        <v>1</v>
      </c>
      <c r="M40" s="29"/>
      <c r="N40" s="29"/>
      <c r="O40" s="29"/>
      <c r="P40" s="29"/>
      <c r="Q40" s="29"/>
      <c r="R40" s="29"/>
      <c r="S40" s="29"/>
      <c r="T40" s="29"/>
      <c r="U40" s="30"/>
      <c r="V40" s="30"/>
    </row>
    <row r="41" spans="1:22" s="32" customFormat="1" ht="18.75" customHeight="1">
      <c r="A41" s="4">
        <f>ROW()</f>
        <v>41</v>
      </c>
      <c r="B41" s="27">
        <v>76102</v>
      </c>
      <c r="C41" s="27"/>
      <c r="D41" s="31">
        <v>1.18</v>
      </c>
      <c r="E41" s="27">
        <v>2</v>
      </c>
      <c r="F41" s="27"/>
      <c r="G41" s="27"/>
      <c r="H41" s="35" t="s">
        <v>396</v>
      </c>
      <c r="I41" s="26">
        <f>IF(ISBLANK(J41),"",VLOOKUP(J41,定义!D:E,2,FALSE))</f>
        <v>31</v>
      </c>
      <c r="J41" s="51" t="s">
        <v>397</v>
      </c>
      <c r="K41" s="29">
        <v>0</v>
      </c>
      <c r="L41" s="29">
        <v>250</v>
      </c>
      <c r="M41" s="29">
        <v>-70</v>
      </c>
      <c r="N41" s="29">
        <v>300</v>
      </c>
      <c r="O41" s="29">
        <v>-85</v>
      </c>
      <c r="P41" s="29">
        <v>85</v>
      </c>
      <c r="Q41" s="29"/>
      <c r="R41" s="29"/>
      <c r="S41" s="29"/>
      <c r="T41" s="29"/>
      <c r="U41" s="30"/>
      <c r="V41" s="30"/>
    </row>
    <row r="42" spans="1:22" ht="18.75" customHeight="1">
      <c r="A42" s="4">
        <f>ROW()</f>
        <v>42</v>
      </c>
      <c r="B42" s="27">
        <v>76102</v>
      </c>
      <c r="C42" s="26"/>
      <c r="D42" s="31">
        <v>1.18</v>
      </c>
      <c r="E42" s="27">
        <v>2</v>
      </c>
      <c r="F42" s="27"/>
      <c r="G42" s="27"/>
      <c r="H42" s="34" t="s">
        <v>402</v>
      </c>
      <c r="I42" s="26">
        <f>IF(ISBLANK(J42),"",VLOOKUP(J42,定义!D:E,2,FALSE))</f>
        <v>7</v>
      </c>
      <c r="J42" s="51" t="s">
        <v>391</v>
      </c>
      <c r="K42" s="29">
        <v>150</v>
      </c>
      <c r="L42" s="29">
        <v>0</v>
      </c>
      <c r="M42" s="29">
        <v>0.1</v>
      </c>
      <c r="N42" s="29"/>
      <c r="O42" s="29"/>
      <c r="P42" s="29"/>
      <c r="Q42" s="29"/>
      <c r="R42" s="29"/>
      <c r="S42" s="29"/>
      <c r="T42" s="29"/>
      <c r="U42" s="30"/>
      <c r="V42" s="30"/>
    </row>
    <row r="43" spans="1:22" ht="18.75" customHeight="1">
      <c r="A43" s="4">
        <f>ROW()</f>
        <v>43</v>
      </c>
      <c r="B43" s="27">
        <v>76102</v>
      </c>
      <c r="C43" s="26"/>
      <c r="D43" s="31">
        <v>1.18</v>
      </c>
      <c r="E43" s="27">
        <v>3</v>
      </c>
      <c r="F43" s="27"/>
      <c r="G43" s="26"/>
      <c r="H43" s="34" t="s">
        <v>396</v>
      </c>
      <c r="I43" s="26">
        <f>IF(ISBLANK(J43),"",VLOOKUP(J43,定义!D:E,2,FALSE))</f>
        <v>31</v>
      </c>
      <c r="J43" s="51" t="s">
        <v>397</v>
      </c>
      <c r="K43" s="29">
        <v>-250</v>
      </c>
      <c r="L43" s="29">
        <v>0</v>
      </c>
      <c r="M43" s="29">
        <v>-70</v>
      </c>
      <c r="N43" s="29">
        <v>300</v>
      </c>
      <c r="O43" s="29">
        <v>-85</v>
      </c>
      <c r="P43" s="29">
        <v>85</v>
      </c>
      <c r="Q43" s="29"/>
      <c r="R43" s="29"/>
      <c r="S43" s="29"/>
      <c r="T43" s="29"/>
      <c r="U43" s="30"/>
      <c r="V43" s="30"/>
    </row>
    <row r="44" spans="1:22" s="32" customFormat="1" ht="18.75" customHeight="1">
      <c r="A44" s="4">
        <f>ROW()</f>
        <v>44</v>
      </c>
      <c r="B44" s="27">
        <v>76102</v>
      </c>
      <c r="C44" s="27"/>
      <c r="D44" s="31">
        <v>1.18</v>
      </c>
      <c r="E44" s="27">
        <v>3</v>
      </c>
      <c r="F44" s="27"/>
      <c r="G44" s="27"/>
      <c r="H44" s="35" t="s">
        <v>402</v>
      </c>
      <c r="I44" s="26">
        <f>IF(ISBLANK(J44),"",VLOOKUP(J44,定义!D:E,2,FALSE))</f>
        <v>7</v>
      </c>
      <c r="J44" s="51" t="s">
        <v>391</v>
      </c>
      <c r="K44" s="29">
        <v>-150</v>
      </c>
      <c r="L44" s="29">
        <v>0</v>
      </c>
      <c r="M44" s="29">
        <v>0.1</v>
      </c>
      <c r="N44" s="29"/>
      <c r="O44" s="29"/>
      <c r="P44" s="29"/>
      <c r="Q44" s="29"/>
      <c r="R44" s="29"/>
      <c r="S44" s="29"/>
      <c r="T44" s="29"/>
      <c r="U44" s="30"/>
      <c r="V44" s="30"/>
    </row>
    <row r="45" spans="1:22" ht="18.75" customHeight="1">
      <c r="A45" s="4">
        <f>ROW()</f>
        <v>45</v>
      </c>
      <c r="B45" s="27">
        <v>76102</v>
      </c>
      <c r="C45" s="26"/>
      <c r="D45" s="31">
        <v>1.17</v>
      </c>
      <c r="E45" s="27">
        <v>1</v>
      </c>
      <c r="F45" s="27"/>
      <c r="G45" s="27"/>
      <c r="H45" s="34"/>
      <c r="I45" s="26">
        <f>IF(ISBLANK(J45),"",VLOOKUP(J45,定义!D:E,2,FALSE))</f>
        <v>16</v>
      </c>
      <c r="J45" s="51" t="s">
        <v>390</v>
      </c>
      <c r="K45" s="29">
        <v>9</v>
      </c>
      <c r="L45" s="29">
        <v>0</v>
      </c>
      <c r="M45" s="29">
        <v>3</v>
      </c>
      <c r="N45" s="29">
        <v>90</v>
      </c>
      <c r="O45" s="29">
        <v>0.4</v>
      </c>
      <c r="P45" s="29">
        <v>0</v>
      </c>
      <c r="Q45" s="29">
        <v>1</v>
      </c>
      <c r="R45" s="29">
        <v>1</v>
      </c>
      <c r="S45" s="29"/>
      <c r="T45" s="29"/>
      <c r="U45" s="30"/>
      <c r="V45" s="30"/>
    </row>
    <row r="46" spans="1:22" ht="18.75" customHeight="1">
      <c r="A46" s="26" t="s">
        <v>400</v>
      </c>
      <c r="B46" s="27"/>
      <c r="C46" s="26"/>
      <c r="D46" s="31"/>
      <c r="E46" s="27"/>
      <c r="F46" s="27"/>
      <c r="G46" s="26"/>
      <c r="H46" s="34"/>
      <c r="I46" s="26" t="str">
        <f>IF(ISBLANK(J46),"",VLOOKUP(J46,定义!D:E,2,FALSE))</f>
        <v/>
      </c>
      <c r="J46" s="51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30"/>
      <c r="V46" s="30"/>
    </row>
    <row r="47" spans="1:22" ht="18.75" customHeight="1">
      <c r="A47" s="27" t="s">
        <v>400</v>
      </c>
      <c r="B47" s="27">
        <v>76103</v>
      </c>
      <c r="C47" s="26" t="s">
        <v>403</v>
      </c>
      <c r="D47" s="31">
        <v>0</v>
      </c>
      <c r="E47" s="27">
        <v>0</v>
      </c>
      <c r="F47" s="27"/>
      <c r="G47" s="26"/>
      <c r="H47" s="34"/>
      <c r="I47" s="26">
        <f>IF(ISBLANK(J47),"",VLOOKUP(J47,定义!D:E,2,FALSE))</f>
        <v>14</v>
      </c>
      <c r="J47" s="51" t="s">
        <v>392</v>
      </c>
      <c r="K47" s="29" t="s">
        <v>404</v>
      </c>
      <c r="L47" s="29">
        <v>1.2</v>
      </c>
      <c r="M47" s="29">
        <v>0</v>
      </c>
      <c r="N47" s="29" t="s">
        <v>405</v>
      </c>
      <c r="O47" s="29"/>
      <c r="P47" s="29"/>
      <c r="Q47" s="29"/>
      <c r="R47" s="29"/>
      <c r="S47" s="29"/>
      <c r="T47" s="29"/>
      <c r="U47" s="30"/>
      <c r="V47" s="30"/>
    </row>
    <row r="48" spans="1:22" ht="18.75" customHeight="1">
      <c r="A48" s="27" t="s">
        <v>400</v>
      </c>
      <c r="B48" s="27">
        <v>76103</v>
      </c>
      <c r="D48" s="44">
        <v>0</v>
      </c>
      <c r="E48" s="4">
        <v>0</v>
      </c>
      <c r="I48" s="26">
        <f>IF(ISBLANK(J48),"",VLOOKUP(J48,定义!D:E,2,FALSE))</f>
        <v>14</v>
      </c>
      <c r="J48" s="52" t="s">
        <v>392</v>
      </c>
      <c r="K48" s="32" t="s">
        <v>404</v>
      </c>
      <c r="L48" s="32">
        <v>1.2</v>
      </c>
      <c r="M48" s="32">
        <v>0</v>
      </c>
      <c r="N48" s="32" t="s">
        <v>406</v>
      </c>
    </row>
    <row r="49" spans="1:22" ht="18.75" customHeight="1">
      <c r="A49" s="27" t="s">
        <v>400</v>
      </c>
      <c r="B49" s="27">
        <v>76103</v>
      </c>
      <c r="D49" s="44">
        <v>0</v>
      </c>
      <c r="E49" s="4">
        <v>0</v>
      </c>
      <c r="I49" s="26">
        <f>IF(ISBLANK(J49),"",VLOOKUP(J49,定义!D:E,2,FALSE))</f>
        <v>14</v>
      </c>
      <c r="J49" s="52" t="s">
        <v>392</v>
      </c>
      <c r="K49" s="32" t="s">
        <v>404</v>
      </c>
      <c r="L49" s="32">
        <v>1.2</v>
      </c>
      <c r="M49" s="32">
        <v>0</v>
      </c>
      <c r="N49" s="32" t="s">
        <v>407</v>
      </c>
    </row>
    <row r="50" spans="1:22" ht="18.75" customHeight="1">
      <c r="A50" s="27" t="s">
        <v>400</v>
      </c>
      <c r="B50" s="27">
        <v>76103</v>
      </c>
      <c r="D50" s="44">
        <v>0</v>
      </c>
      <c r="E50" s="4">
        <v>0</v>
      </c>
      <c r="I50" s="26">
        <f>IF(ISBLANK(J50),"",VLOOKUP(J50,定义!D:E,2,FALSE))</f>
        <v>14</v>
      </c>
      <c r="J50" s="52" t="s">
        <v>392</v>
      </c>
      <c r="K50" s="32" t="s">
        <v>404</v>
      </c>
      <c r="L50" s="32">
        <v>1.2</v>
      </c>
      <c r="M50" s="32">
        <v>0</v>
      </c>
      <c r="N50" s="32" t="s">
        <v>408</v>
      </c>
    </row>
    <row r="51" spans="1:22" ht="18.75" customHeight="1">
      <c r="A51" s="4">
        <f>ROW()</f>
        <v>51</v>
      </c>
      <c r="B51" s="27">
        <v>76103</v>
      </c>
      <c r="D51" s="44">
        <v>1</v>
      </c>
      <c r="E51" s="4">
        <v>0</v>
      </c>
      <c r="I51" s="26">
        <f>IF(ISBLANK(J51),"",VLOOKUP(J51,定义!D:E,2,FALSE))</f>
        <v>35</v>
      </c>
      <c r="J51" s="52" t="s">
        <v>413</v>
      </c>
      <c r="K51" s="32">
        <v>1.7</v>
      </c>
      <c r="L51" s="32">
        <v>0</v>
      </c>
      <c r="M51" s="32">
        <v>0</v>
      </c>
      <c r="N51" s="32">
        <v>0</v>
      </c>
    </row>
    <row r="52" spans="1:22" ht="18.75" customHeight="1">
      <c r="A52" s="4">
        <f>ROW()</f>
        <v>52</v>
      </c>
      <c r="B52" s="27">
        <v>76103</v>
      </c>
      <c r="C52" s="4" t="s">
        <v>497</v>
      </c>
      <c r="D52" s="44">
        <v>0.7</v>
      </c>
      <c r="E52" s="4">
        <v>0</v>
      </c>
      <c r="I52" s="26">
        <f>IF(ISBLANK(J52),"",VLOOKUP(J52,定义!D:E,2,FALSE))</f>
        <v>14</v>
      </c>
      <c r="J52" s="52" t="s">
        <v>392</v>
      </c>
      <c r="K52" s="32" t="s">
        <v>412</v>
      </c>
      <c r="L52" s="32">
        <v>0.5</v>
      </c>
      <c r="M52" s="32">
        <v>0</v>
      </c>
      <c r="N52" s="32" t="s">
        <v>405</v>
      </c>
    </row>
    <row r="53" spans="1:22" ht="18.75" customHeight="1">
      <c r="A53" s="27" t="s">
        <v>400</v>
      </c>
      <c r="B53" s="27">
        <v>76103</v>
      </c>
      <c r="D53" s="44">
        <v>1.1000000000000001</v>
      </c>
      <c r="E53" s="4">
        <v>0</v>
      </c>
      <c r="I53" s="26">
        <f>IF(ISBLANK(J53),"",VLOOKUP(J53,定义!D:E,2,FALSE))</f>
        <v>19</v>
      </c>
      <c r="J53" s="52" t="s">
        <v>552</v>
      </c>
      <c r="K53" s="32">
        <v>18</v>
      </c>
      <c r="L53" s="32">
        <v>1</v>
      </c>
      <c r="M53" s="32">
        <v>0</v>
      </c>
      <c r="N53" s="32">
        <v>0</v>
      </c>
    </row>
    <row r="54" spans="1:22" ht="18.75" customHeight="1">
      <c r="A54" s="4">
        <f>ROW()</f>
        <v>54</v>
      </c>
      <c r="B54" s="27">
        <v>76103</v>
      </c>
      <c r="D54" s="44">
        <v>1.1000000000000001</v>
      </c>
      <c r="E54" s="4">
        <v>0</v>
      </c>
      <c r="I54" s="26">
        <f>IF(ISBLANK(J54),"",VLOOKUP(J54,定义!D:E,2,FALSE))</f>
        <v>15</v>
      </c>
      <c r="J54" s="52" t="s">
        <v>393</v>
      </c>
      <c r="K54" s="32">
        <v>18</v>
      </c>
      <c r="L54" s="32">
        <v>1</v>
      </c>
      <c r="M54" s="32" t="s">
        <v>553</v>
      </c>
      <c r="N54" s="32">
        <v>0</v>
      </c>
      <c r="O54" s="32">
        <v>215030001</v>
      </c>
      <c r="P54" s="32">
        <v>1</v>
      </c>
    </row>
    <row r="55" spans="1:22" ht="18.75" customHeight="1">
      <c r="A55" s="4">
        <f>ROW()</f>
        <v>55</v>
      </c>
      <c r="B55" s="27">
        <v>76103</v>
      </c>
      <c r="C55" s="4" t="s">
        <v>410</v>
      </c>
      <c r="D55" s="44">
        <v>2.0499999999999998</v>
      </c>
      <c r="E55" s="4">
        <v>0</v>
      </c>
      <c r="I55" s="26">
        <f>IF(ISBLANK(J55),"",VLOOKUP(J55,定义!D:E,2,FALSE))</f>
        <v>14</v>
      </c>
      <c r="J55" s="52" t="s">
        <v>392</v>
      </c>
      <c r="K55" s="32" t="s">
        <v>394</v>
      </c>
      <c r="L55" s="32">
        <v>1</v>
      </c>
      <c r="M55" s="32">
        <v>1</v>
      </c>
      <c r="N55" s="32" t="s">
        <v>503</v>
      </c>
    </row>
    <row r="56" spans="1:22" ht="18.75" customHeight="1">
      <c r="A56" s="4">
        <f>ROW()</f>
        <v>56</v>
      </c>
      <c r="B56" s="27">
        <v>76103</v>
      </c>
      <c r="C56" s="4" t="s">
        <v>411</v>
      </c>
      <c r="D56" s="44">
        <v>2.4</v>
      </c>
      <c r="E56" s="4">
        <v>0</v>
      </c>
      <c r="I56" s="26">
        <f>IF(ISBLANK(J56),"",VLOOKUP(J56,定义!D:E,2,FALSE))</f>
        <v>14</v>
      </c>
      <c r="J56" s="52" t="s">
        <v>392</v>
      </c>
      <c r="K56" s="32" t="s">
        <v>412</v>
      </c>
      <c r="L56" s="32">
        <v>0.5</v>
      </c>
      <c r="M56" s="32">
        <v>1</v>
      </c>
      <c r="N56" s="32" t="s">
        <v>405</v>
      </c>
    </row>
    <row r="57" spans="1:22" ht="18.75" customHeight="1">
      <c r="A57" s="4">
        <f>ROW()</f>
        <v>57</v>
      </c>
      <c r="B57" s="27">
        <v>76103</v>
      </c>
      <c r="D57" s="44">
        <v>2.15</v>
      </c>
      <c r="E57" s="4">
        <v>1</v>
      </c>
      <c r="H57" s="4" t="s">
        <v>396</v>
      </c>
      <c r="I57" s="26">
        <f>IF(ISBLANK(J57),"",VLOOKUP(J57,定义!D:E,2,FALSE))</f>
        <v>31</v>
      </c>
      <c r="J57" s="52" t="s">
        <v>397</v>
      </c>
      <c r="K57" s="32">
        <v>-100</v>
      </c>
      <c r="L57" s="32">
        <v>550</v>
      </c>
      <c r="M57" s="32">
        <v>-70</v>
      </c>
      <c r="N57" s="32">
        <v>300</v>
      </c>
      <c r="O57" s="32">
        <v>-100</v>
      </c>
      <c r="P57" s="32">
        <v>100</v>
      </c>
      <c r="U57" s="4">
        <v>1</v>
      </c>
      <c r="V57" s="4">
        <v>0.1</v>
      </c>
    </row>
    <row r="58" spans="1:22" ht="18.75" customHeight="1">
      <c r="A58" s="4">
        <f>ROW()</f>
        <v>58</v>
      </c>
      <c r="B58" s="27">
        <v>76103</v>
      </c>
      <c r="D58" s="44">
        <v>2.15</v>
      </c>
      <c r="E58" s="4">
        <v>1</v>
      </c>
      <c r="H58" s="4" t="s">
        <v>398</v>
      </c>
      <c r="I58" s="26">
        <f>IF(ISBLANK(J58),"",VLOOKUP(J58,定义!D:E,2,FALSE))</f>
        <v>1</v>
      </c>
      <c r="J58" s="52" t="s">
        <v>399</v>
      </c>
      <c r="K58" s="32">
        <v>0</v>
      </c>
      <c r="L58" s="32">
        <v>2</v>
      </c>
      <c r="U58" s="4">
        <v>1</v>
      </c>
      <c r="V58" s="4">
        <v>0.1</v>
      </c>
    </row>
    <row r="59" spans="1:22" ht="18.75" customHeight="1">
      <c r="A59" s="4">
        <f>ROW()</f>
        <v>59</v>
      </c>
      <c r="B59" s="27">
        <v>76103</v>
      </c>
      <c r="D59" s="44">
        <v>2.15</v>
      </c>
      <c r="E59" s="4">
        <v>1</v>
      </c>
      <c r="H59" s="4" t="s">
        <v>402</v>
      </c>
      <c r="I59" s="26">
        <f>IF(ISBLANK(J59),"",VLOOKUP(J59,定义!D:E,2,FALSE))</f>
        <v>7</v>
      </c>
      <c r="J59" s="52" t="s">
        <v>391</v>
      </c>
      <c r="K59" s="32">
        <v>200</v>
      </c>
      <c r="L59" s="32">
        <v>0</v>
      </c>
      <c r="M59" s="32">
        <v>0.3</v>
      </c>
      <c r="U59" s="4">
        <v>1</v>
      </c>
      <c r="V59" s="4">
        <v>0.1</v>
      </c>
    </row>
    <row r="60" spans="1:22" ht="18.75" customHeight="1">
      <c r="A60" s="4">
        <f>ROW()</f>
        <v>60</v>
      </c>
      <c r="B60" s="27">
        <v>76103</v>
      </c>
      <c r="D60" s="44">
        <v>2.15</v>
      </c>
      <c r="E60" s="4">
        <v>0</v>
      </c>
      <c r="I60" s="26">
        <f>IF(ISBLANK(J60),"",VLOOKUP(J60,定义!D:E,2,FALSE))</f>
        <v>11</v>
      </c>
      <c r="J60" s="52" t="s">
        <v>51</v>
      </c>
      <c r="K60" s="32">
        <v>600</v>
      </c>
      <c r="L60" s="32">
        <v>0</v>
      </c>
      <c r="M60" s="32">
        <v>0.2</v>
      </c>
    </row>
    <row r="61" spans="1:22" ht="18.75" customHeight="1">
      <c r="A61" s="4">
        <f>ROW()</f>
        <v>61</v>
      </c>
      <c r="B61" s="27">
        <v>76103</v>
      </c>
      <c r="D61" s="44">
        <v>2.15</v>
      </c>
      <c r="E61" s="4">
        <v>0</v>
      </c>
      <c r="I61" s="26">
        <f>IF(ISBLANK(J61),"",VLOOKUP(J61,定义!D:E,2,FALSE))</f>
        <v>16</v>
      </c>
      <c r="J61" s="52" t="s">
        <v>390</v>
      </c>
      <c r="K61" s="32">
        <v>10</v>
      </c>
      <c r="L61" s="32">
        <v>0</v>
      </c>
      <c r="M61" s="32">
        <v>4</v>
      </c>
      <c r="N61" s="32">
        <v>90</v>
      </c>
      <c r="O61" s="32">
        <v>0.5</v>
      </c>
      <c r="P61" s="32">
        <v>0</v>
      </c>
      <c r="Q61" s="32">
        <v>1</v>
      </c>
      <c r="R61" s="32">
        <v>1</v>
      </c>
    </row>
  </sheetData>
  <phoneticPr fontId="3" type="noConversion"/>
  <conditionalFormatting sqref="B6:B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2:B1048576 B24:B33 B19:B21 B1:B4 B6:B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:B1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:B1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:B16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:B1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:B1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B14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4:B3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4:B61 B48:B50 B34:B3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9:B4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9:B4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:B4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2:B4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4:B3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:B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:B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8:B4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7:B52 B54:B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7:B52 B54:B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7:B52 B54:B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6"/>
  <sheetViews>
    <sheetView workbookViewId="0">
      <pane xSplit="4" ySplit="2" topLeftCell="E21" activePane="bottomRight" state="frozen"/>
      <selection pane="topRight" activeCell="E1" sqref="E1"/>
      <selection pane="bottomLeft" activeCell="A3" sqref="A3"/>
      <selection pane="bottomRight" activeCell="F39" sqref="F39"/>
    </sheetView>
  </sheetViews>
  <sheetFormatPr defaultRowHeight="13.5"/>
  <cols>
    <col min="1" max="1" width="9" bestFit="1" customWidth="1"/>
    <col min="3" max="3" width="7.25" style="59" customWidth="1"/>
    <col min="4" max="4" width="16.625" style="62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8"/>
      <c r="B2" s="38"/>
      <c r="C2" s="58" t="s">
        <v>295</v>
      </c>
      <c r="D2" s="40" t="s">
        <v>294</v>
      </c>
      <c r="E2" s="58" t="s">
        <v>295</v>
      </c>
      <c r="F2" s="40" t="s">
        <v>151</v>
      </c>
      <c r="G2" s="40" t="s">
        <v>296</v>
      </c>
      <c r="H2" s="40" t="s">
        <v>297</v>
      </c>
      <c r="I2" s="40" t="s">
        <v>298</v>
      </c>
      <c r="J2" s="40" t="s">
        <v>299</v>
      </c>
      <c r="K2" s="40" t="s">
        <v>300</v>
      </c>
      <c r="L2" s="40" t="s">
        <v>153</v>
      </c>
      <c r="M2" s="40" t="s">
        <v>35</v>
      </c>
      <c r="N2" s="40" t="s">
        <v>36</v>
      </c>
      <c r="O2" s="40" t="s">
        <v>301</v>
      </c>
    </row>
    <row r="3" spans="1:19" s="38" customFormat="1">
      <c r="A3"/>
      <c r="B3"/>
      <c r="C3" s="59">
        <v>1</v>
      </c>
      <c r="D3" s="39" t="s">
        <v>4</v>
      </c>
      <c r="E3" s="20">
        <f>C3</f>
        <v>1</v>
      </c>
      <c r="F3" s="10" t="s">
        <v>362</v>
      </c>
      <c r="G3" s="10" t="s">
        <v>363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59">
        <v>2</v>
      </c>
      <c r="D4" s="39" t="s">
        <v>364</v>
      </c>
      <c r="E4" s="20">
        <f t="shared" ref="E4:E35" si="0">C4</f>
        <v>2</v>
      </c>
      <c r="F4" s="10" t="s">
        <v>302</v>
      </c>
      <c r="G4" s="10" t="s">
        <v>222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59">
        <v>3</v>
      </c>
      <c r="D5" s="39" t="s">
        <v>306</v>
      </c>
      <c r="E5" s="20">
        <f t="shared" si="0"/>
        <v>3</v>
      </c>
      <c r="F5" s="10" t="s">
        <v>307</v>
      </c>
      <c r="G5" s="10" t="s">
        <v>308</v>
      </c>
      <c r="H5" s="10" t="s">
        <v>309</v>
      </c>
      <c r="I5" s="10" t="s">
        <v>310</v>
      </c>
      <c r="J5" s="10" t="s">
        <v>311</v>
      </c>
      <c r="K5" s="10"/>
      <c r="L5" s="10"/>
      <c r="M5" s="10"/>
      <c r="S5" t="s">
        <v>38</v>
      </c>
    </row>
    <row r="6" spans="1:19">
      <c r="C6" s="59">
        <v>4</v>
      </c>
      <c r="D6" s="39" t="s">
        <v>312</v>
      </c>
      <c r="E6" s="20">
        <f t="shared" si="0"/>
        <v>4</v>
      </c>
      <c r="F6" s="10" t="s">
        <v>227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59">
        <v>5</v>
      </c>
      <c r="D7" s="40" t="s">
        <v>103</v>
      </c>
      <c r="E7" s="20">
        <f t="shared" si="0"/>
        <v>5</v>
      </c>
      <c r="F7" s="10" t="s">
        <v>313</v>
      </c>
      <c r="G7" s="10" t="s">
        <v>314</v>
      </c>
      <c r="H7" s="10"/>
      <c r="I7" s="10"/>
      <c r="J7" s="10"/>
      <c r="K7" s="10"/>
      <c r="L7" s="10"/>
      <c r="M7" s="10"/>
      <c r="S7" t="s">
        <v>40</v>
      </c>
    </row>
    <row r="8" spans="1:19">
      <c r="C8" s="59">
        <v>6</v>
      </c>
      <c r="D8" s="40" t="s">
        <v>62</v>
      </c>
      <c r="E8" s="20">
        <f t="shared" si="0"/>
        <v>6</v>
      </c>
      <c r="F8" s="10" t="s">
        <v>302</v>
      </c>
      <c r="G8" s="10"/>
      <c r="H8" s="10"/>
      <c r="I8" s="10"/>
      <c r="J8" s="10"/>
      <c r="K8" s="10"/>
      <c r="L8" s="10"/>
      <c r="M8" s="10"/>
    </row>
    <row r="9" spans="1:19">
      <c r="C9" s="59">
        <v>7</v>
      </c>
      <c r="D9" s="40" t="s">
        <v>197</v>
      </c>
      <c r="E9" s="20">
        <f t="shared" si="0"/>
        <v>7</v>
      </c>
      <c r="F9" s="10" t="s">
        <v>315</v>
      </c>
      <c r="G9" s="10" t="s">
        <v>316</v>
      </c>
      <c r="H9" s="10" t="s">
        <v>317</v>
      </c>
      <c r="I9" s="10"/>
      <c r="J9" s="10"/>
      <c r="K9" s="10"/>
      <c r="L9" s="10"/>
      <c r="M9" s="10"/>
    </row>
    <row r="10" spans="1:19" ht="67.5">
      <c r="B10" t="s">
        <v>47</v>
      </c>
      <c r="C10" s="59">
        <v>8</v>
      </c>
      <c r="D10" s="40" t="s">
        <v>52</v>
      </c>
      <c r="E10" s="20">
        <f t="shared" si="0"/>
        <v>8</v>
      </c>
      <c r="F10" s="10" t="s">
        <v>315</v>
      </c>
      <c r="G10" s="10" t="s">
        <v>318</v>
      </c>
      <c r="H10" s="10" t="s">
        <v>316</v>
      </c>
      <c r="I10" s="10" t="s">
        <v>206</v>
      </c>
      <c r="J10" s="10" t="s">
        <v>303</v>
      </c>
      <c r="K10" s="10" t="s">
        <v>319</v>
      </c>
      <c r="L10" s="10"/>
      <c r="M10" s="10"/>
    </row>
    <row r="11" spans="1:19" ht="67.5">
      <c r="B11" t="s">
        <v>47</v>
      </c>
      <c r="C11" s="59">
        <v>9</v>
      </c>
      <c r="D11" s="40" t="s">
        <v>53</v>
      </c>
      <c r="E11" s="20">
        <f t="shared" si="0"/>
        <v>9</v>
      </c>
      <c r="F11" s="10" t="s">
        <v>315</v>
      </c>
      <c r="G11" s="10" t="s">
        <v>318</v>
      </c>
      <c r="H11" s="10" t="s">
        <v>316</v>
      </c>
      <c r="I11" s="10" t="s">
        <v>206</v>
      </c>
      <c r="J11" s="10" t="s">
        <v>303</v>
      </c>
      <c r="K11" s="10" t="s">
        <v>319</v>
      </c>
      <c r="L11" s="10"/>
      <c r="M11" s="10"/>
    </row>
    <row r="12" spans="1:19">
      <c r="B12" t="s">
        <v>47</v>
      </c>
      <c r="C12" s="59">
        <v>10</v>
      </c>
      <c r="D12" s="40" t="s">
        <v>54</v>
      </c>
      <c r="E12" s="20">
        <f t="shared" si="0"/>
        <v>10</v>
      </c>
      <c r="F12" s="10" t="s">
        <v>315</v>
      </c>
      <c r="G12" s="10" t="s">
        <v>320</v>
      </c>
      <c r="H12" s="10"/>
      <c r="I12" s="10"/>
      <c r="J12" s="10"/>
      <c r="K12" s="10"/>
      <c r="L12" s="10"/>
      <c r="M12" s="10"/>
    </row>
    <row r="13" spans="1:19" ht="27">
      <c r="C13" s="59">
        <v>11</v>
      </c>
      <c r="D13" s="40" t="s">
        <v>321</v>
      </c>
      <c r="E13" s="20">
        <f t="shared" si="0"/>
        <v>11</v>
      </c>
      <c r="F13" s="10" t="s">
        <v>315</v>
      </c>
      <c r="G13" s="7" t="s">
        <v>316</v>
      </c>
      <c r="H13" s="7" t="s">
        <v>41</v>
      </c>
      <c r="J13" s="10"/>
      <c r="K13" s="10"/>
      <c r="L13" s="10"/>
      <c r="M13" s="10"/>
    </row>
    <row r="14" spans="1:19">
      <c r="B14" t="s">
        <v>47</v>
      </c>
      <c r="C14" s="59">
        <v>12</v>
      </c>
      <c r="D14" s="40" t="s">
        <v>78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59">
        <v>13</v>
      </c>
      <c r="D15" s="40" t="s">
        <v>5</v>
      </c>
      <c r="E15" s="20">
        <f t="shared" si="0"/>
        <v>13</v>
      </c>
      <c r="F15" s="10" t="s">
        <v>322</v>
      </c>
      <c r="G15" s="10" t="s">
        <v>42</v>
      </c>
      <c r="H15" s="10" t="s">
        <v>323</v>
      </c>
      <c r="I15" s="10"/>
      <c r="J15" s="10"/>
      <c r="K15" s="10"/>
      <c r="L15" s="10"/>
      <c r="M15" s="10"/>
    </row>
    <row r="16" spans="1:19" ht="54">
      <c r="C16" s="59">
        <v>14</v>
      </c>
      <c r="D16" s="40" t="s">
        <v>324</v>
      </c>
      <c r="E16" s="20">
        <f t="shared" si="0"/>
        <v>14</v>
      </c>
      <c r="F16" s="10" t="s">
        <v>369</v>
      </c>
      <c r="G16" s="8" t="s">
        <v>11</v>
      </c>
      <c r="H16" s="10" t="s">
        <v>91</v>
      </c>
      <c r="I16" s="7" t="s">
        <v>370</v>
      </c>
    </row>
    <row r="17" spans="2:15" ht="108">
      <c r="C17" s="59">
        <v>16</v>
      </c>
      <c r="D17" s="40" t="s">
        <v>331</v>
      </c>
      <c r="E17" s="20">
        <f t="shared" si="0"/>
        <v>16</v>
      </c>
      <c r="F17" s="7" t="s">
        <v>375</v>
      </c>
      <c r="G17" s="10" t="s">
        <v>376</v>
      </c>
      <c r="H17" s="7" t="s">
        <v>377</v>
      </c>
      <c r="I17" s="7" t="s">
        <v>378</v>
      </c>
      <c r="J17" s="7" t="s">
        <v>379</v>
      </c>
      <c r="K17" s="7" t="s">
        <v>380</v>
      </c>
      <c r="L17" s="10" t="s">
        <v>381</v>
      </c>
      <c r="M17" s="7" t="s">
        <v>382</v>
      </c>
    </row>
    <row r="18" spans="2:15">
      <c r="B18" t="s">
        <v>47</v>
      </c>
      <c r="C18" s="59">
        <v>17</v>
      </c>
      <c r="D18" s="40" t="s">
        <v>332</v>
      </c>
      <c r="E18" s="20">
        <f t="shared" si="0"/>
        <v>17</v>
      </c>
      <c r="F18" s="10" t="s">
        <v>333</v>
      </c>
      <c r="G18" s="10"/>
      <c r="H18" s="10"/>
      <c r="I18" s="10"/>
      <c r="J18" s="10"/>
      <c r="K18" s="10"/>
      <c r="L18" s="10"/>
      <c r="M18" s="10"/>
    </row>
    <row r="19" spans="2:15" ht="108">
      <c r="C19" s="59">
        <v>18</v>
      </c>
      <c r="D19" s="40" t="s">
        <v>6</v>
      </c>
      <c r="E19" s="20">
        <f t="shared" si="0"/>
        <v>18</v>
      </c>
      <c r="F19" s="10" t="s">
        <v>334</v>
      </c>
      <c r="G19" s="10" t="s">
        <v>335</v>
      </c>
      <c r="H19" s="10" t="s">
        <v>336</v>
      </c>
      <c r="I19" s="10" t="s">
        <v>127</v>
      </c>
      <c r="K19" s="10"/>
      <c r="L19" s="10"/>
      <c r="M19" s="10"/>
    </row>
    <row r="20" spans="2:15" ht="67.5">
      <c r="B20" t="s">
        <v>47</v>
      </c>
      <c r="C20" s="59">
        <v>15</v>
      </c>
      <c r="D20" s="40" t="s">
        <v>304</v>
      </c>
      <c r="E20" s="20">
        <f t="shared" si="0"/>
        <v>15</v>
      </c>
      <c r="F20" s="10" t="s">
        <v>12</v>
      </c>
      <c r="G20" s="8" t="s">
        <v>337</v>
      </c>
      <c r="H20" s="60" t="s">
        <v>338</v>
      </c>
      <c r="I20" s="61" t="s">
        <v>339</v>
      </c>
      <c r="J20" s="10" t="s">
        <v>340</v>
      </c>
      <c r="K20" s="10" t="s">
        <v>341</v>
      </c>
    </row>
    <row r="21" spans="2:15" ht="54">
      <c r="C21" s="59">
        <v>19</v>
      </c>
      <c r="D21" s="40" t="s">
        <v>7</v>
      </c>
      <c r="E21" s="20">
        <f t="shared" si="0"/>
        <v>19</v>
      </c>
      <c r="F21" s="7" t="s">
        <v>342</v>
      </c>
      <c r="G21" s="6" t="s">
        <v>337</v>
      </c>
      <c r="H21" s="7" t="s">
        <v>305</v>
      </c>
      <c r="I21" s="7" t="s">
        <v>343</v>
      </c>
      <c r="J21" s="8" t="s">
        <v>325</v>
      </c>
      <c r="K21" s="8" t="s">
        <v>326</v>
      </c>
      <c r="L21" s="8" t="s">
        <v>327</v>
      </c>
      <c r="M21" s="8" t="s">
        <v>328</v>
      </c>
      <c r="N21" s="8" t="s">
        <v>329</v>
      </c>
      <c r="O21" s="8" t="s">
        <v>330</v>
      </c>
    </row>
    <row r="22" spans="2:15">
      <c r="C22" s="59">
        <v>20</v>
      </c>
      <c r="D22" s="40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59">
        <v>21</v>
      </c>
      <c r="D23" s="40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59">
        <v>22</v>
      </c>
      <c r="D24" s="40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59">
        <v>23</v>
      </c>
      <c r="D25" s="40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59">
        <v>24</v>
      </c>
      <c r="D26" s="40" t="s">
        <v>98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59">
        <v>25</v>
      </c>
      <c r="D27" s="40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59">
        <v>26</v>
      </c>
      <c r="D28" s="40" t="s">
        <v>344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59">
        <v>27</v>
      </c>
      <c r="D29" s="40" t="s">
        <v>140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59">
        <v>28</v>
      </c>
      <c r="D30" s="40" t="s">
        <v>345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59">
        <v>29</v>
      </c>
      <c r="D31" s="40" t="s">
        <v>366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59">
        <v>30</v>
      </c>
      <c r="D32" s="40" t="s">
        <v>346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59">
        <v>31</v>
      </c>
      <c r="D33" s="40" t="s">
        <v>347</v>
      </c>
      <c r="E33" s="20">
        <f t="shared" si="0"/>
        <v>31</v>
      </c>
      <c r="F33" s="8" t="s">
        <v>348</v>
      </c>
      <c r="G33" s="8" t="s">
        <v>349</v>
      </c>
      <c r="H33" s="8" t="s">
        <v>350</v>
      </c>
      <c r="I33" s="8" t="s">
        <v>351</v>
      </c>
      <c r="J33" s="8" t="s">
        <v>352</v>
      </c>
      <c r="K33" s="8" t="s">
        <v>353</v>
      </c>
    </row>
    <row r="34" spans="3:16" ht="81">
      <c r="C34" s="59">
        <v>32</v>
      </c>
      <c r="D34" s="40" t="s">
        <v>354</v>
      </c>
      <c r="E34" s="20">
        <f t="shared" si="0"/>
        <v>32</v>
      </c>
      <c r="F34" s="7" t="s">
        <v>355</v>
      </c>
      <c r="G34" s="7" t="s">
        <v>356</v>
      </c>
      <c r="H34" s="5" t="s">
        <v>357</v>
      </c>
      <c r="I34" s="7" t="s">
        <v>358</v>
      </c>
      <c r="J34" s="7" t="s">
        <v>359</v>
      </c>
      <c r="K34" s="7" t="s">
        <v>360</v>
      </c>
      <c r="L34" s="7" t="s">
        <v>361</v>
      </c>
      <c r="P34" s="8"/>
    </row>
    <row r="35" spans="3:16">
      <c r="C35" s="59">
        <v>33</v>
      </c>
      <c r="D35" s="40" t="s">
        <v>365</v>
      </c>
      <c r="E35" s="20">
        <f t="shared" si="0"/>
        <v>33</v>
      </c>
      <c r="F35" s="8" t="s">
        <v>365</v>
      </c>
    </row>
    <row r="36" spans="3:16" ht="40.5">
      <c r="C36" s="59">
        <v>35</v>
      </c>
      <c r="D36" s="40" t="s">
        <v>413</v>
      </c>
      <c r="E36" s="9">
        <v>35</v>
      </c>
      <c r="F36" s="10" t="s">
        <v>493</v>
      </c>
      <c r="G36" s="10" t="s">
        <v>494</v>
      </c>
      <c r="H36" s="10" t="s">
        <v>495</v>
      </c>
      <c r="I36" s="10" t="s">
        <v>496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148</v>
      </c>
      <c r="B1" s="21"/>
      <c r="C1" s="1" t="s">
        <v>149</v>
      </c>
      <c r="D1" s="1"/>
      <c r="E1" s="21" t="s">
        <v>150</v>
      </c>
      <c r="F1" s="21" t="s">
        <v>191</v>
      </c>
      <c r="G1" s="21" t="s">
        <v>151</v>
      </c>
      <c r="H1" s="21" t="s">
        <v>152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153</v>
      </c>
      <c r="N1" s="21" t="s">
        <v>154</v>
      </c>
      <c r="O1" s="22" t="s">
        <v>155</v>
      </c>
    </row>
    <row r="2" spans="1:16" ht="108">
      <c r="A2" s="9">
        <v>1</v>
      </c>
      <c r="C2" s="46" t="s">
        <v>156</v>
      </c>
      <c r="D2" s="46" t="s">
        <v>225</v>
      </c>
      <c r="E2" s="11" t="s">
        <v>223</v>
      </c>
      <c r="F2" s="11"/>
      <c r="G2" s="8" t="s">
        <v>157</v>
      </c>
      <c r="H2" s="8" t="s">
        <v>158</v>
      </c>
      <c r="M2" s="10" t="s">
        <v>166</v>
      </c>
      <c r="N2" s="9" t="s">
        <v>147</v>
      </c>
      <c r="O2" s="9" t="s">
        <v>147</v>
      </c>
    </row>
    <row r="3" spans="1:16" ht="33.75" customHeight="1">
      <c r="A3" s="9">
        <v>1</v>
      </c>
      <c r="C3" s="2" t="s">
        <v>58</v>
      </c>
      <c r="D3" s="2"/>
      <c r="E3" s="10" t="s">
        <v>221</v>
      </c>
      <c r="F3" s="10" t="s">
        <v>10</v>
      </c>
      <c r="G3" s="10" t="s">
        <v>59</v>
      </c>
      <c r="H3" s="10" t="s">
        <v>220</v>
      </c>
      <c r="M3" s="10" t="s">
        <v>162</v>
      </c>
      <c r="N3" s="9" t="s">
        <v>147</v>
      </c>
      <c r="O3" s="9" t="s">
        <v>147</v>
      </c>
    </row>
    <row r="4" spans="1:16" ht="40.5">
      <c r="A4" s="9">
        <v>1</v>
      </c>
      <c r="C4" s="2" t="s">
        <v>209</v>
      </c>
      <c r="D4" s="2"/>
      <c r="E4" s="8" t="s">
        <v>190</v>
      </c>
      <c r="G4" s="10" t="s">
        <v>60</v>
      </c>
      <c r="H4" s="10" t="s">
        <v>208</v>
      </c>
      <c r="I4" s="10" t="s">
        <v>101</v>
      </c>
      <c r="J4" s="10" t="s">
        <v>102</v>
      </c>
      <c r="K4" s="10" t="s">
        <v>207</v>
      </c>
      <c r="L4" s="8" t="s">
        <v>210</v>
      </c>
      <c r="M4" s="10"/>
      <c r="N4" s="9" t="s">
        <v>147</v>
      </c>
    </row>
    <row r="5" spans="1:16" ht="81">
      <c r="A5" s="9">
        <v>1</v>
      </c>
      <c r="B5" s="9" t="s">
        <v>203</v>
      </c>
      <c r="C5" s="45" t="s">
        <v>103</v>
      </c>
      <c r="D5" s="45" t="s">
        <v>250</v>
      </c>
      <c r="E5" s="11" t="s">
        <v>232</v>
      </c>
      <c r="F5" s="10" t="s">
        <v>10</v>
      </c>
      <c r="G5" s="10" t="s">
        <v>104</v>
      </c>
      <c r="H5" s="10" t="s">
        <v>205</v>
      </c>
      <c r="I5" s="10"/>
      <c r="M5" s="10" t="s">
        <v>164</v>
      </c>
      <c r="N5" s="9" t="s">
        <v>147</v>
      </c>
      <c r="O5" s="9" t="s">
        <v>147</v>
      </c>
    </row>
    <row r="6" spans="1:16" ht="47.25" customHeight="1">
      <c r="A6" s="9">
        <v>1</v>
      </c>
      <c r="C6" s="3" t="s">
        <v>62</v>
      </c>
      <c r="D6" s="45" t="s">
        <v>228</v>
      </c>
      <c r="E6" s="10" t="s">
        <v>231</v>
      </c>
      <c r="F6" s="10" t="s">
        <v>10</v>
      </c>
      <c r="G6" s="10" t="s">
        <v>59</v>
      </c>
      <c r="M6" s="10" t="s">
        <v>163</v>
      </c>
      <c r="N6" s="9" t="s">
        <v>147</v>
      </c>
      <c r="O6" s="9" t="s">
        <v>147</v>
      </c>
    </row>
    <row r="7" spans="1:16" ht="54">
      <c r="A7" s="9">
        <v>1</v>
      </c>
      <c r="B7" s="9" t="s">
        <v>203</v>
      </c>
      <c r="C7" s="3" t="s">
        <v>197</v>
      </c>
      <c r="D7" s="45" t="s">
        <v>229</v>
      </c>
      <c r="E7" s="11" t="s">
        <v>63</v>
      </c>
      <c r="F7" s="10" t="s">
        <v>10</v>
      </c>
      <c r="G7" s="10" t="s">
        <v>64</v>
      </c>
      <c r="H7" s="8" t="s">
        <v>65</v>
      </c>
      <c r="I7" s="10" t="s">
        <v>77</v>
      </c>
      <c r="M7" s="10" t="s">
        <v>162</v>
      </c>
      <c r="N7" s="9" t="s">
        <v>147</v>
      </c>
      <c r="O7" s="9" t="s">
        <v>147</v>
      </c>
    </row>
    <row r="8" spans="1:16" ht="121.5">
      <c r="A8" s="9">
        <v>1</v>
      </c>
      <c r="B8" s="9" t="s">
        <v>202</v>
      </c>
      <c r="C8" s="3" t="s">
        <v>66</v>
      </c>
      <c r="D8" s="45" t="s">
        <v>250</v>
      </c>
      <c r="E8" s="11" t="s">
        <v>224</v>
      </c>
      <c r="F8" s="10" t="s">
        <v>192</v>
      </c>
      <c r="G8" s="10" t="s">
        <v>199</v>
      </c>
      <c r="H8" s="8" t="s">
        <v>68</v>
      </c>
      <c r="I8" s="8" t="s">
        <v>198</v>
      </c>
      <c r="J8" s="10" t="s">
        <v>70</v>
      </c>
      <c r="K8" s="10" t="s">
        <v>200</v>
      </c>
      <c r="L8" s="10" t="s">
        <v>201</v>
      </c>
      <c r="M8" s="10" t="s">
        <v>167</v>
      </c>
      <c r="N8" s="9" t="s">
        <v>147</v>
      </c>
      <c r="O8" s="9" t="s">
        <v>147</v>
      </c>
    </row>
    <row r="9" spans="1:16" ht="81">
      <c r="A9" s="9">
        <v>1</v>
      </c>
      <c r="B9" s="9" t="s">
        <v>202</v>
      </c>
      <c r="C9" s="3" t="s">
        <v>71</v>
      </c>
      <c r="D9" s="45" t="s">
        <v>226</v>
      </c>
      <c r="E9" s="11" t="s">
        <v>204</v>
      </c>
      <c r="F9" s="10" t="s">
        <v>192</v>
      </c>
      <c r="G9" s="10" t="s">
        <v>67</v>
      </c>
      <c r="H9" s="8" t="s">
        <v>179</v>
      </c>
      <c r="I9" s="8" t="s">
        <v>69</v>
      </c>
      <c r="J9" s="10" t="s">
        <v>70</v>
      </c>
      <c r="K9" s="10" t="s">
        <v>105</v>
      </c>
      <c r="L9" s="10" t="s">
        <v>106</v>
      </c>
      <c r="M9" s="10" t="s">
        <v>164</v>
      </c>
      <c r="N9" s="9" t="s">
        <v>147</v>
      </c>
      <c r="O9" s="9" t="s">
        <v>147</v>
      </c>
    </row>
    <row r="10" spans="1:16" ht="67.5">
      <c r="A10" s="9">
        <v>3</v>
      </c>
      <c r="C10" s="3" t="s">
        <v>72</v>
      </c>
      <c r="D10" s="3"/>
      <c r="E10" s="10" t="s">
        <v>73</v>
      </c>
      <c r="F10" s="10" t="s">
        <v>192</v>
      </c>
      <c r="G10" s="10" t="s">
        <v>64</v>
      </c>
      <c r="H10" s="8" t="s">
        <v>74</v>
      </c>
      <c r="I10" s="8" t="s">
        <v>75</v>
      </c>
      <c r="M10" s="10" t="s">
        <v>163</v>
      </c>
      <c r="N10" s="9" t="s">
        <v>147</v>
      </c>
      <c r="O10" s="9" t="s">
        <v>147</v>
      </c>
    </row>
    <row r="11" spans="1:16" ht="40.5">
      <c r="A11" s="9">
        <v>1</v>
      </c>
      <c r="C11" s="3" t="s">
        <v>180</v>
      </c>
      <c r="D11" s="3"/>
      <c r="E11" s="10" t="s">
        <v>193</v>
      </c>
      <c r="F11" s="10" t="s">
        <v>192</v>
      </c>
      <c r="G11" s="10" t="s">
        <v>64</v>
      </c>
      <c r="H11" s="10" t="s">
        <v>76</v>
      </c>
      <c r="I11" s="10" t="s">
        <v>77</v>
      </c>
      <c r="M11" s="10" t="s">
        <v>168</v>
      </c>
    </row>
    <row r="12" spans="1:16" ht="27">
      <c r="A12" s="9">
        <v>3</v>
      </c>
      <c r="C12" s="3" t="s">
        <v>78</v>
      </c>
      <c r="D12" s="3"/>
      <c r="E12" s="10" t="s">
        <v>107</v>
      </c>
      <c r="F12" s="10"/>
      <c r="G12" s="10" t="s">
        <v>77</v>
      </c>
      <c r="H12" s="8" t="s">
        <v>108</v>
      </c>
      <c r="I12" s="8" t="s">
        <v>109</v>
      </c>
      <c r="J12" s="8" t="s">
        <v>110</v>
      </c>
      <c r="L12" s="17"/>
      <c r="M12" s="10" t="s">
        <v>165</v>
      </c>
      <c r="N12" s="9" t="s">
        <v>147</v>
      </c>
      <c r="O12" s="9" t="s">
        <v>147</v>
      </c>
    </row>
    <row r="13" spans="1:16" s="15" customFormat="1" ht="162">
      <c r="A13" s="12">
        <v>2</v>
      </c>
      <c r="B13" s="12"/>
      <c r="C13" s="13" t="s">
        <v>79</v>
      </c>
      <c r="D13" s="13"/>
      <c r="E13" s="23" t="s">
        <v>230</v>
      </c>
      <c r="F13" s="23"/>
      <c r="G13" s="14" t="s">
        <v>80</v>
      </c>
      <c r="H13" s="14" t="s">
        <v>81</v>
      </c>
      <c r="I13" s="14" t="s">
        <v>82</v>
      </c>
      <c r="J13" s="15" t="s">
        <v>83</v>
      </c>
      <c r="M13" s="14" t="s">
        <v>178</v>
      </c>
      <c r="N13" s="16" t="s">
        <v>84</v>
      </c>
      <c r="O13" s="18" t="s">
        <v>85</v>
      </c>
      <c r="P13" s="14"/>
    </row>
    <row r="14" spans="1:16" ht="120" customHeight="1">
      <c r="A14" s="9">
        <v>1</v>
      </c>
      <c r="C14" s="3" t="s">
        <v>111</v>
      </c>
      <c r="D14" s="3"/>
      <c r="F14" s="10" t="s">
        <v>192</v>
      </c>
      <c r="G14" s="8" t="s">
        <v>181</v>
      </c>
      <c r="H14" s="10" t="s">
        <v>112</v>
      </c>
      <c r="I14" s="10" t="s">
        <v>113</v>
      </c>
      <c r="J14" s="10" t="s">
        <v>114</v>
      </c>
      <c r="K14" s="10" t="s">
        <v>115</v>
      </c>
      <c r="L14" s="10" t="s">
        <v>116</v>
      </c>
      <c r="M14" s="10" t="s">
        <v>211</v>
      </c>
    </row>
    <row r="15" spans="1:16" ht="40.5">
      <c r="A15" s="9">
        <v>2</v>
      </c>
      <c r="C15" s="3" t="s">
        <v>117</v>
      </c>
      <c r="D15" s="3"/>
      <c r="E15" s="10" t="s">
        <v>118</v>
      </c>
      <c r="F15" s="10"/>
      <c r="G15" s="10" t="s">
        <v>119</v>
      </c>
      <c r="M15" s="10" t="s">
        <v>168</v>
      </c>
    </row>
    <row r="16" spans="1:16" ht="40.5">
      <c r="A16" s="9">
        <v>3</v>
      </c>
      <c r="C16" s="3" t="s">
        <v>120</v>
      </c>
      <c r="D16" s="3"/>
      <c r="E16" s="8" t="s">
        <v>121</v>
      </c>
      <c r="G16" s="19" t="s">
        <v>122</v>
      </c>
      <c r="H16" s="8" t="s">
        <v>123</v>
      </c>
      <c r="I16" s="10" t="s">
        <v>124</v>
      </c>
      <c r="M16" s="10" t="s">
        <v>168</v>
      </c>
      <c r="N16" s="9" t="s">
        <v>147</v>
      </c>
      <c r="O16" s="9" t="s">
        <v>147</v>
      </c>
    </row>
    <row r="17" spans="1:15" ht="54">
      <c r="A17" s="9">
        <v>2</v>
      </c>
      <c r="C17" s="3" t="s">
        <v>86</v>
      </c>
      <c r="D17" s="3"/>
      <c r="E17" s="10" t="s">
        <v>87</v>
      </c>
      <c r="F17" s="10"/>
      <c r="G17" s="10" t="s">
        <v>88</v>
      </c>
      <c r="H17" s="10" t="s">
        <v>89</v>
      </c>
      <c r="I17" s="10" t="s">
        <v>61</v>
      </c>
      <c r="J17" s="8" t="s">
        <v>90</v>
      </c>
      <c r="K17" s="10" t="s">
        <v>91</v>
      </c>
      <c r="L17" s="10" t="s">
        <v>92</v>
      </c>
      <c r="N17" s="9" t="s">
        <v>147</v>
      </c>
    </row>
    <row r="18" spans="1:15" ht="108">
      <c r="A18" s="9">
        <v>2</v>
      </c>
      <c r="C18" s="3" t="s">
        <v>125</v>
      </c>
      <c r="D18" s="3"/>
      <c r="E18" s="10" t="s">
        <v>182</v>
      </c>
      <c r="F18" s="10" t="s">
        <v>194</v>
      </c>
      <c r="G18" s="10" t="s">
        <v>126</v>
      </c>
      <c r="H18" s="10" t="s">
        <v>183</v>
      </c>
      <c r="I18" s="10" t="s">
        <v>184</v>
      </c>
      <c r="J18" s="10" t="s">
        <v>127</v>
      </c>
      <c r="K18" s="8" t="s">
        <v>128</v>
      </c>
      <c r="L18" s="8" t="s">
        <v>129</v>
      </c>
      <c r="M18" s="8" t="s">
        <v>130</v>
      </c>
      <c r="N18" s="20"/>
    </row>
    <row r="19" spans="1:15" ht="67.5">
      <c r="A19" s="9">
        <v>2</v>
      </c>
      <c r="C19" s="3" t="s">
        <v>131</v>
      </c>
      <c r="D19" s="3"/>
      <c r="E19" s="10" t="s">
        <v>132</v>
      </c>
      <c r="F19" s="10"/>
      <c r="G19" s="10" t="s">
        <v>133</v>
      </c>
      <c r="H19" s="8" t="s">
        <v>134</v>
      </c>
      <c r="I19" s="10" t="s">
        <v>187</v>
      </c>
      <c r="J19" s="10" t="s">
        <v>135</v>
      </c>
      <c r="K19" s="10" t="s">
        <v>136</v>
      </c>
      <c r="N19" s="9" t="s">
        <v>147</v>
      </c>
    </row>
    <row r="20" spans="1:15" ht="54">
      <c r="A20" s="9">
        <v>3</v>
      </c>
      <c r="C20" s="3" t="s">
        <v>93</v>
      </c>
      <c r="D20" s="3"/>
      <c r="E20" s="11" t="s">
        <v>94</v>
      </c>
      <c r="F20" s="11"/>
      <c r="G20" s="19" t="s">
        <v>188</v>
      </c>
      <c r="H20" s="8" t="s">
        <v>185</v>
      </c>
      <c r="M20" s="10" t="s">
        <v>162</v>
      </c>
      <c r="N20" s="9" t="s">
        <v>147</v>
      </c>
      <c r="O20" s="9" t="s">
        <v>147</v>
      </c>
    </row>
    <row r="21" spans="1:15" ht="54">
      <c r="A21" s="9">
        <v>3</v>
      </c>
      <c r="C21" s="3" t="s">
        <v>95</v>
      </c>
      <c r="D21" s="3"/>
      <c r="E21" s="11" t="s">
        <v>96</v>
      </c>
      <c r="F21" s="11"/>
      <c r="G21" s="19" t="s">
        <v>97</v>
      </c>
      <c r="H21" s="8" t="s">
        <v>186</v>
      </c>
      <c r="M21" s="10" t="s">
        <v>162</v>
      </c>
      <c r="N21" s="9" t="s">
        <v>147</v>
      </c>
      <c r="O21" s="9" t="s">
        <v>147</v>
      </c>
    </row>
    <row r="22" spans="1:15">
      <c r="A22" s="9">
        <v>3</v>
      </c>
      <c r="C22" s="3" t="s">
        <v>159</v>
      </c>
      <c r="D22" s="3"/>
      <c r="E22" s="8" t="s">
        <v>99</v>
      </c>
    </row>
    <row r="23" spans="1:15" ht="27">
      <c r="A23" s="9">
        <v>3</v>
      </c>
      <c r="C23" s="3" t="s">
        <v>160</v>
      </c>
      <c r="D23" s="3"/>
      <c r="E23" s="10" t="s">
        <v>161</v>
      </c>
      <c r="F23" s="10"/>
    </row>
    <row r="24" spans="1:15">
      <c r="A24" s="9">
        <v>3</v>
      </c>
      <c r="C24" s="3" t="s">
        <v>98</v>
      </c>
      <c r="D24" s="3"/>
      <c r="E24" s="8" t="s">
        <v>99</v>
      </c>
    </row>
    <row r="25" spans="1:15" ht="54">
      <c r="A25" s="9">
        <v>3</v>
      </c>
      <c r="C25" s="3" t="s">
        <v>100</v>
      </c>
      <c r="D25" s="3"/>
      <c r="E25" s="10" t="s">
        <v>171</v>
      </c>
      <c r="F25" s="10" t="s">
        <v>192</v>
      </c>
      <c r="G25" s="10" t="s">
        <v>169</v>
      </c>
      <c r="H25" s="10" t="s">
        <v>170</v>
      </c>
      <c r="N25" s="20"/>
    </row>
    <row r="26" spans="1:15" ht="54">
      <c r="A26" s="9">
        <v>3</v>
      </c>
      <c r="C26" s="3" t="s">
        <v>144</v>
      </c>
      <c r="D26" s="3"/>
      <c r="E26" s="10" t="s">
        <v>172</v>
      </c>
      <c r="F26" s="10"/>
      <c r="G26" s="10" t="s">
        <v>145</v>
      </c>
      <c r="H26" s="10" t="s">
        <v>146</v>
      </c>
      <c r="N26" s="9" t="s">
        <v>147</v>
      </c>
      <c r="O26" s="9" t="s">
        <v>147</v>
      </c>
    </row>
    <row r="27" spans="1:15" ht="40.5">
      <c r="A27" s="9">
        <v>3</v>
      </c>
      <c r="C27" s="3" t="s">
        <v>137</v>
      </c>
      <c r="D27" s="3"/>
      <c r="E27" s="10" t="s">
        <v>173</v>
      </c>
      <c r="F27" s="10"/>
      <c r="G27" s="10" t="s">
        <v>138</v>
      </c>
      <c r="H27" s="10" t="s">
        <v>174</v>
      </c>
    </row>
    <row r="28" spans="1:15">
      <c r="A28" s="9">
        <v>3</v>
      </c>
      <c r="C28" s="3" t="s">
        <v>139</v>
      </c>
      <c r="D28" s="3"/>
      <c r="E28" s="8" t="s">
        <v>175</v>
      </c>
      <c r="F28" s="10" t="s">
        <v>192</v>
      </c>
    </row>
    <row r="29" spans="1:15">
      <c r="A29" s="9">
        <v>4</v>
      </c>
      <c r="C29" s="3" t="s">
        <v>140</v>
      </c>
      <c r="D29" s="3"/>
      <c r="E29" s="8" t="s">
        <v>176</v>
      </c>
      <c r="G29" s="8" t="s">
        <v>141</v>
      </c>
      <c r="H29" s="8" t="s">
        <v>142</v>
      </c>
      <c r="I29" s="8" t="s">
        <v>143</v>
      </c>
      <c r="N29" s="9" t="s">
        <v>147</v>
      </c>
      <c r="O29" s="9" t="s">
        <v>147</v>
      </c>
    </row>
    <row r="30" spans="1:15" ht="27">
      <c r="C30" s="2" t="s">
        <v>195</v>
      </c>
      <c r="D30" s="2"/>
      <c r="E30" s="10" t="s">
        <v>177</v>
      </c>
      <c r="F30" s="10"/>
      <c r="G30" s="10"/>
      <c r="N30" s="9" t="s">
        <v>147</v>
      </c>
      <c r="O30" s="9" t="s">
        <v>147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189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926"/>
  <sheetViews>
    <sheetView topLeftCell="A336" workbookViewId="0">
      <selection activeCell="C354" sqref="C354:C374"/>
    </sheetView>
  </sheetViews>
  <sheetFormatPr defaultRowHeight="13.5"/>
  <cols>
    <col min="2" max="2" width="47.125" bestFit="1" customWidth="1"/>
  </cols>
  <sheetData>
    <row r="1" spans="1:2">
      <c r="A1" t="s">
        <v>253</v>
      </c>
      <c r="B1" t="s">
        <v>254</v>
      </c>
    </row>
    <row r="2" spans="1:2">
      <c r="B2" t="s">
        <v>255</v>
      </c>
    </row>
    <row r="3" spans="1:2">
      <c r="B3" t="s">
        <v>256</v>
      </c>
    </row>
    <row r="4" spans="1:2">
      <c r="B4" t="s">
        <v>414</v>
      </c>
    </row>
    <row r="5" spans="1:2">
      <c r="B5" t="s">
        <v>415</v>
      </c>
    </row>
    <row r="6" spans="1:2">
      <c r="B6" t="s">
        <v>275</v>
      </c>
    </row>
    <row r="7" spans="1:2">
      <c r="B7" t="s">
        <v>258</v>
      </c>
    </row>
    <row r="8" spans="1:2">
      <c r="B8" t="s">
        <v>259</v>
      </c>
    </row>
    <row r="9" spans="1:2">
      <c r="B9" t="s">
        <v>276</v>
      </c>
    </row>
    <row r="10" spans="1:2">
      <c r="B10" t="s">
        <v>277</v>
      </c>
    </row>
    <row r="11" spans="1:2">
      <c r="B11" t="s">
        <v>416</v>
      </c>
    </row>
    <row r="12" spans="1:2">
      <c r="B12" t="s">
        <v>417</v>
      </c>
    </row>
    <row r="13" spans="1:2">
      <c r="B13" t="s">
        <v>385</v>
      </c>
    </row>
    <row r="14" spans="1:2">
      <c r="B14" t="s">
        <v>278</v>
      </c>
    </row>
    <row r="15" spans="1:2">
      <c r="B15" t="s">
        <v>291</v>
      </c>
    </row>
    <row r="16" spans="1:2">
      <c r="B16" t="s">
        <v>292</v>
      </c>
    </row>
    <row r="17" spans="2:2">
      <c r="B17" t="s">
        <v>267</v>
      </c>
    </row>
    <row r="18" spans="2:2">
      <c r="B18" t="s">
        <v>268</v>
      </c>
    </row>
    <row r="19" spans="2:2">
      <c r="B19" t="s">
        <v>269</v>
      </c>
    </row>
    <row r="20" spans="2:2">
      <c r="B20" t="s">
        <v>270</v>
      </c>
    </row>
    <row r="21" spans="2:2">
      <c r="B21" t="s">
        <v>271</v>
      </c>
    </row>
    <row r="22" spans="2:2">
      <c r="B22" t="s">
        <v>545</v>
      </c>
    </row>
    <row r="23" spans="2:2">
      <c r="B23" t="s">
        <v>272</v>
      </c>
    </row>
    <row r="24" spans="2:2">
      <c r="B24" t="s">
        <v>383</v>
      </c>
    </row>
    <row r="25" spans="2:2">
      <c r="B25" t="s">
        <v>384</v>
      </c>
    </row>
    <row r="26" spans="2:2">
      <c r="B26" t="s">
        <v>414</v>
      </c>
    </row>
    <row r="27" spans="2:2">
      <c r="B27" t="s">
        <v>415</v>
      </c>
    </row>
    <row r="28" spans="2:2">
      <c r="B28" t="s">
        <v>275</v>
      </c>
    </row>
    <row r="29" spans="2:2">
      <c r="B29" t="s">
        <v>258</v>
      </c>
    </row>
    <row r="30" spans="2:2">
      <c r="B30" t="s">
        <v>259</v>
      </c>
    </row>
    <row r="31" spans="2:2">
      <c r="B31" t="s">
        <v>279</v>
      </c>
    </row>
    <row r="32" spans="2:2">
      <c r="B32" t="s">
        <v>280</v>
      </c>
    </row>
    <row r="33" spans="2:2">
      <c r="B33" t="s">
        <v>418</v>
      </c>
    </row>
    <row r="34" spans="2:2">
      <c r="B34" t="s">
        <v>282</v>
      </c>
    </row>
    <row r="35" spans="2:2">
      <c r="B35" t="s">
        <v>283</v>
      </c>
    </row>
    <row r="36" spans="2:2">
      <c r="B36" t="s">
        <v>264</v>
      </c>
    </row>
    <row r="37" spans="2:2">
      <c r="B37" t="s">
        <v>265</v>
      </c>
    </row>
    <row r="38" spans="2:2">
      <c r="B38" t="s">
        <v>266</v>
      </c>
    </row>
    <row r="39" spans="2:2">
      <c r="B39" t="s">
        <v>267</v>
      </c>
    </row>
    <row r="40" spans="2:2">
      <c r="B40" t="s">
        <v>268</v>
      </c>
    </row>
    <row r="41" spans="2:2">
      <c r="B41" t="s">
        <v>269</v>
      </c>
    </row>
    <row r="42" spans="2:2">
      <c r="B42" t="s">
        <v>270</v>
      </c>
    </row>
    <row r="43" spans="2:2">
      <c r="B43" t="s">
        <v>271</v>
      </c>
    </row>
    <row r="44" spans="2:2">
      <c r="B44" t="s">
        <v>545</v>
      </c>
    </row>
    <row r="45" spans="2:2">
      <c r="B45" t="s">
        <v>272</v>
      </c>
    </row>
    <row r="46" spans="2:2">
      <c r="B46" t="s">
        <v>273</v>
      </c>
    </row>
    <row r="47" spans="2:2">
      <c r="B47" t="s">
        <v>274</v>
      </c>
    </row>
    <row r="48" spans="2:2">
      <c r="B48" t="s">
        <v>414</v>
      </c>
    </row>
    <row r="49" spans="2:2">
      <c r="B49" t="s">
        <v>419</v>
      </c>
    </row>
    <row r="50" spans="2:2">
      <c r="B50" t="s">
        <v>275</v>
      </c>
    </row>
    <row r="51" spans="2:2">
      <c r="B51" t="s">
        <v>258</v>
      </c>
    </row>
    <row r="52" spans="2:2">
      <c r="B52" t="s">
        <v>259</v>
      </c>
    </row>
    <row r="53" spans="2:2">
      <c r="B53" t="s">
        <v>260</v>
      </c>
    </row>
    <row r="54" spans="2:2">
      <c r="B54" t="s">
        <v>420</v>
      </c>
    </row>
    <row r="55" spans="2:2">
      <c r="B55" t="s">
        <v>421</v>
      </c>
    </row>
    <row r="56" spans="2:2">
      <c r="B56" t="s">
        <v>262</v>
      </c>
    </row>
    <row r="57" spans="2:2">
      <c r="B57" t="s">
        <v>422</v>
      </c>
    </row>
    <row r="58" spans="2:2">
      <c r="B58" t="s">
        <v>423</v>
      </c>
    </row>
    <row r="59" spans="2:2">
      <c r="B59" t="s">
        <v>424</v>
      </c>
    </row>
    <row r="60" spans="2:2">
      <c r="B60" t="s">
        <v>425</v>
      </c>
    </row>
    <row r="61" spans="2:2">
      <c r="B61" t="s">
        <v>426</v>
      </c>
    </row>
    <row r="62" spans="2:2">
      <c r="B62" t="s">
        <v>427</v>
      </c>
    </row>
    <row r="63" spans="2:2">
      <c r="B63" t="s">
        <v>269</v>
      </c>
    </row>
    <row r="64" spans="2:2">
      <c r="B64" t="s">
        <v>270</v>
      </c>
    </row>
    <row r="65" spans="2:2">
      <c r="B65" t="s">
        <v>271</v>
      </c>
    </row>
    <row r="66" spans="2:2">
      <c r="B66" t="s">
        <v>545</v>
      </c>
    </row>
    <row r="67" spans="2:2">
      <c r="B67" t="s">
        <v>272</v>
      </c>
    </row>
    <row r="68" spans="2:2">
      <c r="B68" t="s">
        <v>284</v>
      </c>
    </row>
    <row r="69" spans="2:2">
      <c r="B69" t="s">
        <v>285</v>
      </c>
    </row>
    <row r="70" spans="2:2">
      <c r="B70" t="s">
        <v>428</v>
      </c>
    </row>
    <row r="71" spans="2:2">
      <c r="B71" t="s">
        <v>429</v>
      </c>
    </row>
    <row r="72" spans="2:2">
      <c r="B72" t="s">
        <v>257</v>
      </c>
    </row>
    <row r="73" spans="2:2">
      <c r="B73" t="s">
        <v>258</v>
      </c>
    </row>
    <row r="74" spans="2:2">
      <c r="B74" t="s">
        <v>259</v>
      </c>
    </row>
    <row r="75" spans="2:2">
      <c r="B75" t="s">
        <v>260</v>
      </c>
    </row>
    <row r="76" spans="2:2">
      <c r="B76" t="s">
        <v>261</v>
      </c>
    </row>
    <row r="77" spans="2:2">
      <c r="B77" t="s">
        <v>416</v>
      </c>
    </row>
    <row r="78" spans="2:2">
      <c r="B78" t="s">
        <v>262</v>
      </c>
    </row>
    <row r="79" spans="2:2">
      <c r="B79" t="s">
        <v>430</v>
      </c>
    </row>
    <row r="80" spans="2:2">
      <c r="B80" t="s">
        <v>264</v>
      </c>
    </row>
    <row r="81" spans="2:2">
      <c r="B81" t="s">
        <v>265</v>
      </c>
    </row>
    <row r="82" spans="2:2">
      <c r="B82" t="s">
        <v>266</v>
      </c>
    </row>
    <row r="83" spans="2:2">
      <c r="B83" t="s">
        <v>267</v>
      </c>
    </row>
    <row r="84" spans="2:2">
      <c r="B84" t="s">
        <v>268</v>
      </c>
    </row>
    <row r="85" spans="2:2">
      <c r="B85" t="s">
        <v>269</v>
      </c>
    </row>
    <row r="86" spans="2:2">
      <c r="B86" t="s">
        <v>270</v>
      </c>
    </row>
    <row r="87" spans="2:2">
      <c r="B87" t="s">
        <v>271</v>
      </c>
    </row>
    <row r="88" spans="2:2">
      <c r="B88" t="s">
        <v>545</v>
      </c>
    </row>
    <row r="89" spans="2:2">
      <c r="B89" t="s">
        <v>272</v>
      </c>
    </row>
    <row r="90" spans="2:2">
      <c r="B90" t="s">
        <v>371</v>
      </c>
    </row>
    <row r="91" spans="2:2">
      <c r="B91" t="s">
        <v>372</v>
      </c>
    </row>
    <row r="92" spans="2:2">
      <c r="B92" t="s">
        <v>428</v>
      </c>
    </row>
    <row r="93" spans="2:2">
      <c r="B93" t="s">
        <v>431</v>
      </c>
    </row>
    <row r="94" spans="2:2">
      <c r="B94" t="s">
        <v>275</v>
      </c>
    </row>
    <row r="95" spans="2:2">
      <c r="B95" t="s">
        <v>258</v>
      </c>
    </row>
    <row r="96" spans="2:2">
      <c r="B96" t="s">
        <v>259</v>
      </c>
    </row>
    <row r="97" spans="2:2">
      <c r="B97" t="s">
        <v>276</v>
      </c>
    </row>
    <row r="98" spans="2:2">
      <c r="B98" t="s">
        <v>277</v>
      </c>
    </row>
    <row r="99" spans="2:2">
      <c r="B99" t="s">
        <v>432</v>
      </c>
    </row>
    <row r="100" spans="2:2">
      <c r="B100" t="s">
        <v>433</v>
      </c>
    </row>
    <row r="101" spans="2:2">
      <c r="B101" t="s">
        <v>385</v>
      </c>
    </row>
    <row r="102" spans="2:2">
      <c r="B102" t="s">
        <v>278</v>
      </c>
    </row>
    <row r="103" spans="2:2">
      <c r="B103" t="s">
        <v>291</v>
      </c>
    </row>
    <row r="104" spans="2:2">
      <c r="B104" t="s">
        <v>292</v>
      </c>
    </row>
    <row r="105" spans="2:2">
      <c r="B105" t="s">
        <v>267</v>
      </c>
    </row>
    <row r="106" spans="2:2">
      <c r="B106" t="s">
        <v>268</v>
      </c>
    </row>
    <row r="107" spans="2:2">
      <c r="B107" t="s">
        <v>269</v>
      </c>
    </row>
    <row r="108" spans="2:2">
      <c r="B108" t="s">
        <v>270</v>
      </c>
    </row>
    <row r="109" spans="2:2">
      <c r="B109" t="s">
        <v>271</v>
      </c>
    </row>
    <row r="110" spans="2:2">
      <c r="B110" t="s">
        <v>545</v>
      </c>
    </row>
    <row r="111" spans="2:2">
      <c r="B111" t="s">
        <v>272</v>
      </c>
    </row>
    <row r="112" spans="2:2">
      <c r="B112" t="s">
        <v>373</v>
      </c>
    </row>
    <row r="113" spans="2:2">
      <c r="B113" t="s">
        <v>374</v>
      </c>
    </row>
    <row r="114" spans="2:2">
      <c r="B114" t="s">
        <v>428</v>
      </c>
    </row>
    <row r="115" spans="2:2">
      <c r="B115" t="s">
        <v>431</v>
      </c>
    </row>
    <row r="116" spans="2:2">
      <c r="B116" t="s">
        <v>275</v>
      </c>
    </row>
    <row r="117" spans="2:2">
      <c r="B117" t="s">
        <v>258</v>
      </c>
    </row>
    <row r="118" spans="2:2">
      <c r="B118" t="s">
        <v>259</v>
      </c>
    </row>
    <row r="119" spans="2:2">
      <c r="B119" t="s">
        <v>279</v>
      </c>
    </row>
    <row r="120" spans="2:2">
      <c r="B120" t="s">
        <v>280</v>
      </c>
    </row>
    <row r="121" spans="2:2">
      <c r="B121" t="s">
        <v>281</v>
      </c>
    </row>
    <row r="122" spans="2:2">
      <c r="B122" t="s">
        <v>282</v>
      </c>
    </row>
    <row r="123" spans="2:2">
      <c r="B123" t="s">
        <v>283</v>
      </c>
    </row>
    <row r="124" spans="2:2">
      <c r="B124" t="s">
        <v>264</v>
      </c>
    </row>
    <row r="125" spans="2:2">
      <c r="B125" t="s">
        <v>265</v>
      </c>
    </row>
    <row r="126" spans="2:2">
      <c r="B126" t="s">
        <v>266</v>
      </c>
    </row>
    <row r="127" spans="2:2">
      <c r="B127" t="s">
        <v>267</v>
      </c>
    </row>
    <row r="128" spans="2:2">
      <c r="B128" t="s">
        <v>268</v>
      </c>
    </row>
    <row r="129" spans="2:2">
      <c r="B129" t="s">
        <v>269</v>
      </c>
    </row>
    <row r="130" spans="2:2">
      <c r="B130" t="s">
        <v>270</v>
      </c>
    </row>
    <row r="131" spans="2:2">
      <c r="B131" t="s">
        <v>271</v>
      </c>
    </row>
    <row r="132" spans="2:2">
      <c r="B132" t="s">
        <v>545</v>
      </c>
    </row>
    <row r="133" spans="2:2">
      <c r="B133" t="s">
        <v>272</v>
      </c>
    </row>
    <row r="134" spans="2:2">
      <c r="B134" t="s">
        <v>434</v>
      </c>
    </row>
    <row r="135" spans="2:2">
      <c r="B135" t="s">
        <v>435</v>
      </c>
    </row>
    <row r="136" spans="2:2">
      <c r="B136" t="s">
        <v>428</v>
      </c>
    </row>
    <row r="137" spans="2:2">
      <c r="B137" t="s">
        <v>431</v>
      </c>
    </row>
    <row r="138" spans="2:2">
      <c r="B138" t="s">
        <v>290</v>
      </c>
    </row>
    <row r="139" spans="2:2">
      <c r="B139" t="s">
        <v>258</v>
      </c>
    </row>
    <row r="140" spans="2:2">
      <c r="B140" t="s">
        <v>259</v>
      </c>
    </row>
    <row r="141" spans="2:2">
      <c r="B141" t="s">
        <v>276</v>
      </c>
    </row>
    <row r="142" spans="2:2">
      <c r="B142" t="s">
        <v>277</v>
      </c>
    </row>
    <row r="143" spans="2:2">
      <c r="B143" t="s">
        <v>418</v>
      </c>
    </row>
    <row r="144" spans="2:2">
      <c r="B144" t="s">
        <v>433</v>
      </c>
    </row>
    <row r="145" spans="2:2">
      <c r="B145" t="s">
        <v>385</v>
      </c>
    </row>
    <row r="146" spans="2:2">
      <c r="B146" t="s">
        <v>278</v>
      </c>
    </row>
    <row r="147" spans="2:2">
      <c r="B147" t="s">
        <v>291</v>
      </c>
    </row>
    <row r="148" spans="2:2">
      <c r="B148" t="s">
        <v>292</v>
      </c>
    </row>
    <row r="149" spans="2:2">
      <c r="B149" t="s">
        <v>267</v>
      </c>
    </row>
    <row r="150" spans="2:2">
      <c r="B150" t="s">
        <v>268</v>
      </c>
    </row>
    <row r="151" spans="2:2">
      <c r="B151" t="s">
        <v>269</v>
      </c>
    </row>
    <row r="152" spans="2:2">
      <c r="B152" t="s">
        <v>270</v>
      </c>
    </row>
    <row r="153" spans="2:2">
      <c r="B153" t="s">
        <v>271</v>
      </c>
    </row>
    <row r="154" spans="2:2">
      <c r="B154" t="s">
        <v>545</v>
      </c>
    </row>
    <row r="155" spans="2:2">
      <c r="B155" t="s">
        <v>272</v>
      </c>
    </row>
    <row r="156" spans="2:2">
      <c r="B156" t="s">
        <v>286</v>
      </c>
    </row>
    <row r="157" spans="2:2">
      <c r="B157" t="s">
        <v>287</v>
      </c>
    </row>
    <row r="158" spans="2:2">
      <c r="B158" t="s">
        <v>428</v>
      </c>
    </row>
    <row r="159" spans="2:2">
      <c r="B159" t="s">
        <v>431</v>
      </c>
    </row>
    <row r="160" spans="2:2">
      <c r="B160" t="s">
        <v>290</v>
      </c>
    </row>
    <row r="161" spans="2:2">
      <c r="B161" t="s">
        <v>258</v>
      </c>
    </row>
    <row r="162" spans="2:2">
      <c r="B162" t="s">
        <v>259</v>
      </c>
    </row>
    <row r="163" spans="2:2">
      <c r="B163" t="s">
        <v>436</v>
      </c>
    </row>
    <row r="164" spans="2:2">
      <c r="B164" t="s">
        <v>437</v>
      </c>
    </row>
    <row r="165" spans="2:2">
      <c r="B165" t="s">
        <v>438</v>
      </c>
    </row>
    <row r="166" spans="2:2">
      <c r="B166" t="s">
        <v>262</v>
      </c>
    </row>
    <row r="167" spans="2:2">
      <c r="B167" t="s">
        <v>263</v>
      </c>
    </row>
    <row r="168" spans="2:2">
      <c r="B168" t="s">
        <v>264</v>
      </c>
    </row>
    <row r="169" spans="2:2">
      <c r="B169" t="s">
        <v>265</v>
      </c>
    </row>
    <row r="170" spans="2:2">
      <c r="B170" t="s">
        <v>266</v>
      </c>
    </row>
    <row r="171" spans="2:2">
      <c r="B171" t="s">
        <v>267</v>
      </c>
    </row>
    <row r="172" spans="2:2">
      <c r="B172" t="s">
        <v>268</v>
      </c>
    </row>
    <row r="173" spans="2:2">
      <c r="B173" t="s">
        <v>269</v>
      </c>
    </row>
    <row r="174" spans="2:2">
      <c r="B174" t="s">
        <v>270</v>
      </c>
    </row>
    <row r="175" spans="2:2">
      <c r="B175" t="s">
        <v>271</v>
      </c>
    </row>
    <row r="176" spans="2:2">
      <c r="B176" t="s">
        <v>545</v>
      </c>
    </row>
    <row r="177" spans="2:2">
      <c r="B177" t="s">
        <v>272</v>
      </c>
    </row>
    <row r="178" spans="2:2">
      <c r="B178" t="s">
        <v>367</v>
      </c>
    </row>
    <row r="179" spans="2:2">
      <c r="B179" t="s">
        <v>368</v>
      </c>
    </row>
    <row r="180" spans="2:2">
      <c r="B180" t="s">
        <v>428</v>
      </c>
    </row>
    <row r="181" spans="2:2">
      <c r="B181" t="s">
        <v>431</v>
      </c>
    </row>
    <row r="182" spans="2:2">
      <c r="B182" t="s">
        <v>439</v>
      </c>
    </row>
    <row r="183" spans="2:2">
      <c r="B183" t="s">
        <v>258</v>
      </c>
    </row>
    <row r="184" spans="2:2">
      <c r="B184" t="s">
        <v>259</v>
      </c>
    </row>
    <row r="185" spans="2:2">
      <c r="B185" t="s">
        <v>276</v>
      </c>
    </row>
    <row r="186" spans="2:2">
      <c r="B186" t="s">
        <v>277</v>
      </c>
    </row>
    <row r="187" spans="2:2">
      <c r="B187" t="s">
        <v>432</v>
      </c>
    </row>
    <row r="188" spans="2:2">
      <c r="B188" t="s">
        <v>262</v>
      </c>
    </row>
    <row r="189" spans="2:2">
      <c r="B189" t="s">
        <v>385</v>
      </c>
    </row>
    <row r="190" spans="2:2">
      <c r="B190" t="s">
        <v>278</v>
      </c>
    </row>
    <row r="191" spans="2:2">
      <c r="B191" t="s">
        <v>291</v>
      </c>
    </row>
    <row r="192" spans="2:2">
      <c r="B192" t="s">
        <v>292</v>
      </c>
    </row>
    <row r="193" spans="2:2">
      <c r="B193" t="s">
        <v>267</v>
      </c>
    </row>
    <row r="194" spans="2:2">
      <c r="B194" t="s">
        <v>268</v>
      </c>
    </row>
    <row r="195" spans="2:2">
      <c r="B195" t="s">
        <v>269</v>
      </c>
    </row>
    <row r="196" spans="2:2">
      <c r="B196" t="s">
        <v>270</v>
      </c>
    </row>
    <row r="197" spans="2:2">
      <c r="B197" t="s">
        <v>271</v>
      </c>
    </row>
    <row r="198" spans="2:2">
      <c r="B198" t="s">
        <v>545</v>
      </c>
    </row>
    <row r="199" spans="2:2">
      <c r="B199" t="s">
        <v>272</v>
      </c>
    </row>
    <row r="200" spans="2:2">
      <c r="B200" t="s">
        <v>440</v>
      </c>
    </row>
    <row r="201" spans="2:2">
      <c r="B201" t="s">
        <v>441</v>
      </c>
    </row>
    <row r="202" spans="2:2">
      <c r="B202" t="s">
        <v>428</v>
      </c>
    </row>
    <row r="203" spans="2:2">
      <c r="B203" t="s">
        <v>431</v>
      </c>
    </row>
    <row r="204" spans="2:2">
      <c r="B204" t="s">
        <v>439</v>
      </c>
    </row>
    <row r="205" spans="2:2">
      <c r="B205" t="s">
        <v>258</v>
      </c>
    </row>
    <row r="206" spans="2:2">
      <c r="B206" t="s">
        <v>259</v>
      </c>
    </row>
    <row r="207" spans="2:2">
      <c r="B207" t="s">
        <v>436</v>
      </c>
    </row>
    <row r="208" spans="2:2">
      <c r="B208" t="s">
        <v>437</v>
      </c>
    </row>
    <row r="209" spans="2:2">
      <c r="B209" t="s">
        <v>442</v>
      </c>
    </row>
    <row r="210" spans="2:2">
      <c r="B210" t="s">
        <v>262</v>
      </c>
    </row>
    <row r="211" spans="2:2">
      <c r="B211" t="s">
        <v>263</v>
      </c>
    </row>
    <row r="212" spans="2:2">
      <c r="B212" t="s">
        <v>264</v>
      </c>
    </row>
    <row r="213" spans="2:2">
      <c r="B213" t="s">
        <v>265</v>
      </c>
    </row>
    <row r="214" spans="2:2">
      <c r="B214" t="s">
        <v>266</v>
      </c>
    </row>
    <row r="215" spans="2:2">
      <c r="B215" t="s">
        <v>267</v>
      </c>
    </row>
    <row r="216" spans="2:2">
      <c r="B216" t="s">
        <v>268</v>
      </c>
    </row>
    <row r="217" spans="2:2">
      <c r="B217" t="s">
        <v>269</v>
      </c>
    </row>
    <row r="218" spans="2:2">
      <c r="B218" t="s">
        <v>270</v>
      </c>
    </row>
    <row r="219" spans="2:2">
      <c r="B219" t="s">
        <v>271</v>
      </c>
    </row>
    <row r="220" spans="2:2">
      <c r="B220" t="s">
        <v>545</v>
      </c>
    </row>
    <row r="221" spans="2:2">
      <c r="B221" t="s">
        <v>272</v>
      </c>
    </row>
    <row r="222" spans="2:2">
      <c r="B222" t="s">
        <v>288</v>
      </c>
    </row>
    <row r="223" spans="2:2">
      <c r="B223" t="s">
        <v>289</v>
      </c>
    </row>
    <row r="224" spans="2:2">
      <c r="B224" t="s">
        <v>428</v>
      </c>
    </row>
    <row r="225" spans="2:2">
      <c r="B225" t="s">
        <v>443</v>
      </c>
    </row>
    <row r="226" spans="2:2">
      <c r="B226" t="s">
        <v>275</v>
      </c>
    </row>
    <row r="227" spans="2:2">
      <c r="B227" t="s">
        <v>258</v>
      </c>
    </row>
    <row r="228" spans="2:2">
      <c r="B228" t="s">
        <v>259</v>
      </c>
    </row>
    <row r="229" spans="2:2">
      <c r="B229" t="s">
        <v>260</v>
      </c>
    </row>
    <row r="230" spans="2:2">
      <c r="B230" t="s">
        <v>420</v>
      </c>
    </row>
    <row r="231" spans="2:2">
      <c r="B231" t="s">
        <v>444</v>
      </c>
    </row>
    <row r="232" spans="2:2">
      <c r="B232" t="s">
        <v>262</v>
      </c>
    </row>
    <row r="233" spans="2:2">
      <c r="B233" t="s">
        <v>445</v>
      </c>
    </row>
    <row r="234" spans="2:2">
      <c r="B234" t="s">
        <v>423</v>
      </c>
    </row>
    <row r="235" spans="2:2">
      <c r="B235" t="s">
        <v>446</v>
      </c>
    </row>
    <row r="236" spans="2:2">
      <c r="B236" t="s">
        <v>425</v>
      </c>
    </row>
    <row r="237" spans="2:2">
      <c r="B237" t="s">
        <v>426</v>
      </c>
    </row>
    <row r="238" spans="2:2">
      <c r="B238" t="s">
        <v>427</v>
      </c>
    </row>
    <row r="239" spans="2:2">
      <c r="B239" t="s">
        <v>269</v>
      </c>
    </row>
    <row r="240" spans="2:2">
      <c r="B240" t="s">
        <v>270</v>
      </c>
    </row>
    <row r="241" spans="2:2">
      <c r="B241" t="s">
        <v>271</v>
      </c>
    </row>
    <row r="242" spans="2:2">
      <c r="B242" t="s">
        <v>545</v>
      </c>
    </row>
    <row r="243" spans="2:2">
      <c r="B243" t="s">
        <v>272</v>
      </c>
    </row>
    <row r="244" spans="2:2">
      <c r="B244" t="s">
        <v>451</v>
      </c>
    </row>
    <row r="245" spans="2:2">
      <c r="B245" t="s">
        <v>452</v>
      </c>
    </row>
    <row r="246" spans="2:2">
      <c r="B246" t="s">
        <v>447</v>
      </c>
    </row>
    <row r="247" spans="2:2">
      <c r="B247" t="s">
        <v>492</v>
      </c>
    </row>
    <row r="248" spans="2:2">
      <c r="B248" t="s">
        <v>257</v>
      </c>
    </row>
    <row r="249" spans="2:2">
      <c r="B249" t="s">
        <v>258</v>
      </c>
    </row>
    <row r="250" spans="2:2">
      <c r="B250" t="s">
        <v>259</v>
      </c>
    </row>
    <row r="251" spans="2:2">
      <c r="B251" t="s">
        <v>260</v>
      </c>
    </row>
    <row r="252" spans="2:2">
      <c r="B252" t="s">
        <v>489</v>
      </c>
    </row>
    <row r="253" spans="2:2">
      <c r="B253" t="s">
        <v>500</v>
      </c>
    </row>
    <row r="254" spans="2:2">
      <c r="B254" t="s">
        <v>262</v>
      </c>
    </row>
    <row r="255" spans="2:2">
      <c r="B255" t="s">
        <v>449</v>
      </c>
    </row>
    <row r="256" spans="2:2">
      <c r="B256" t="s">
        <v>457</v>
      </c>
    </row>
    <row r="257" spans="2:2">
      <c r="B257" t="s">
        <v>265</v>
      </c>
    </row>
    <row r="258" spans="2:2">
      <c r="B258" t="s">
        <v>266</v>
      </c>
    </row>
    <row r="259" spans="2:2">
      <c r="B259" t="s">
        <v>267</v>
      </c>
    </row>
    <row r="260" spans="2:2">
      <c r="B260" t="s">
        <v>268</v>
      </c>
    </row>
    <row r="261" spans="2:2">
      <c r="B261" t="s">
        <v>269</v>
      </c>
    </row>
    <row r="262" spans="2:2">
      <c r="B262" t="s">
        <v>270</v>
      </c>
    </row>
    <row r="263" spans="2:2">
      <c r="B263" t="s">
        <v>271</v>
      </c>
    </row>
    <row r="264" spans="2:2">
      <c r="B264" t="s">
        <v>545</v>
      </c>
    </row>
    <row r="265" spans="2:2">
      <c r="B265" t="s">
        <v>272</v>
      </c>
    </row>
    <row r="266" spans="2:2">
      <c r="B266" t="s">
        <v>460</v>
      </c>
    </row>
    <row r="267" spans="2:2">
      <c r="B267" t="s">
        <v>461</v>
      </c>
    </row>
    <row r="268" spans="2:2">
      <c r="B268" t="s">
        <v>447</v>
      </c>
    </row>
    <row r="269" spans="2:2">
      <c r="B269" t="s">
        <v>502</v>
      </c>
    </row>
    <row r="270" spans="2:2">
      <c r="B270" t="s">
        <v>257</v>
      </c>
    </row>
    <row r="271" spans="2:2">
      <c r="B271" t="s">
        <v>258</v>
      </c>
    </row>
    <row r="272" spans="2:2">
      <c r="B272" t="s">
        <v>259</v>
      </c>
    </row>
    <row r="273" spans="2:2">
      <c r="B273" t="s">
        <v>260</v>
      </c>
    </row>
    <row r="274" spans="2:2">
      <c r="B274" t="s">
        <v>448</v>
      </c>
    </row>
    <row r="275" spans="2:2">
      <c r="B275" t="s">
        <v>468</v>
      </c>
    </row>
    <row r="276" spans="2:2">
      <c r="B276" t="s">
        <v>551</v>
      </c>
    </row>
    <row r="277" spans="2:2">
      <c r="B277" t="s">
        <v>449</v>
      </c>
    </row>
    <row r="278" spans="2:2">
      <c r="B278" t="s">
        <v>450</v>
      </c>
    </row>
    <row r="279" spans="2:2">
      <c r="B279" t="s">
        <v>265</v>
      </c>
    </row>
    <row r="280" spans="2:2">
      <c r="B280" t="s">
        <v>266</v>
      </c>
    </row>
    <row r="281" spans="2:2">
      <c r="B281" t="s">
        <v>267</v>
      </c>
    </row>
    <row r="282" spans="2:2">
      <c r="B282" t="s">
        <v>268</v>
      </c>
    </row>
    <row r="283" spans="2:2">
      <c r="B283" t="s">
        <v>269</v>
      </c>
    </row>
    <row r="284" spans="2:2">
      <c r="B284" t="s">
        <v>270</v>
      </c>
    </row>
    <row r="285" spans="2:2">
      <c r="B285" t="s">
        <v>271</v>
      </c>
    </row>
    <row r="286" spans="2:2">
      <c r="B286" t="s">
        <v>545</v>
      </c>
    </row>
    <row r="287" spans="2:2">
      <c r="B287" t="s">
        <v>272</v>
      </c>
    </row>
    <row r="288" spans="2:2">
      <c r="B288" t="s">
        <v>466</v>
      </c>
    </row>
    <row r="289" spans="2:2">
      <c r="B289" t="s">
        <v>467</v>
      </c>
    </row>
    <row r="290" spans="2:2">
      <c r="B290" t="s">
        <v>447</v>
      </c>
    </row>
    <row r="291" spans="2:2">
      <c r="B291" t="s">
        <v>453</v>
      </c>
    </row>
    <row r="292" spans="2:2">
      <c r="B292" t="s">
        <v>257</v>
      </c>
    </row>
    <row r="293" spans="2:2">
      <c r="B293" t="s">
        <v>258</v>
      </c>
    </row>
    <row r="294" spans="2:2">
      <c r="B294" t="s">
        <v>259</v>
      </c>
    </row>
    <row r="295" spans="2:2">
      <c r="B295" t="s">
        <v>260</v>
      </c>
    </row>
    <row r="296" spans="2:2">
      <c r="B296" t="s">
        <v>454</v>
      </c>
    </row>
    <row r="297" spans="2:2">
      <c r="B297" t="s">
        <v>455</v>
      </c>
    </row>
    <row r="298" spans="2:2">
      <c r="B298" t="s">
        <v>282</v>
      </c>
    </row>
    <row r="299" spans="2:2">
      <c r="B299" t="s">
        <v>456</v>
      </c>
    </row>
    <row r="300" spans="2:2">
      <c r="B300" t="s">
        <v>457</v>
      </c>
    </row>
    <row r="301" spans="2:2">
      <c r="B301" t="s">
        <v>458</v>
      </c>
    </row>
    <row r="302" spans="2:2">
      <c r="B302" t="s">
        <v>459</v>
      </c>
    </row>
    <row r="303" spans="2:2">
      <c r="B303" t="s">
        <v>267</v>
      </c>
    </row>
    <row r="304" spans="2:2">
      <c r="B304" t="s">
        <v>268</v>
      </c>
    </row>
    <row r="305" spans="2:2">
      <c r="B305" t="s">
        <v>269</v>
      </c>
    </row>
    <row r="306" spans="2:2">
      <c r="B306" t="s">
        <v>270</v>
      </c>
    </row>
    <row r="307" spans="2:2">
      <c r="B307" t="s">
        <v>271</v>
      </c>
    </row>
    <row r="308" spans="2:2">
      <c r="B308" t="s">
        <v>545</v>
      </c>
    </row>
    <row r="309" spans="2:2">
      <c r="B309" t="s">
        <v>272</v>
      </c>
    </row>
    <row r="310" spans="2:2">
      <c r="B310" t="s">
        <v>469</v>
      </c>
    </row>
    <row r="311" spans="2:2">
      <c r="B311" t="s">
        <v>470</v>
      </c>
    </row>
    <row r="312" spans="2:2">
      <c r="B312" t="s">
        <v>447</v>
      </c>
    </row>
    <row r="313" spans="2:2">
      <c r="B313" t="s">
        <v>462</v>
      </c>
    </row>
    <row r="314" spans="2:2">
      <c r="B314" t="s">
        <v>257</v>
      </c>
    </row>
    <row r="315" spans="2:2">
      <c r="B315" t="s">
        <v>258</v>
      </c>
    </row>
    <row r="316" spans="2:2">
      <c r="B316" t="s">
        <v>259</v>
      </c>
    </row>
    <row r="317" spans="2:2">
      <c r="B317" t="s">
        <v>260</v>
      </c>
    </row>
    <row r="318" spans="2:2">
      <c r="B318" t="s">
        <v>448</v>
      </c>
    </row>
    <row r="319" spans="2:2">
      <c r="B319" t="s">
        <v>463</v>
      </c>
    </row>
    <row r="320" spans="2:2">
      <c r="B320" t="s">
        <v>282</v>
      </c>
    </row>
    <row r="321" spans="2:2">
      <c r="B321" t="s">
        <v>465</v>
      </c>
    </row>
    <row r="322" spans="2:2">
      <c r="B322" t="s">
        <v>504</v>
      </c>
    </row>
    <row r="323" spans="2:2">
      <c r="B323" t="s">
        <v>265</v>
      </c>
    </row>
    <row r="324" spans="2:2">
      <c r="B324" t="s">
        <v>266</v>
      </c>
    </row>
    <row r="325" spans="2:2">
      <c r="B325" t="s">
        <v>267</v>
      </c>
    </row>
    <row r="326" spans="2:2">
      <c r="B326" t="s">
        <v>268</v>
      </c>
    </row>
    <row r="327" spans="2:2">
      <c r="B327" t="s">
        <v>269</v>
      </c>
    </row>
    <row r="328" spans="2:2">
      <c r="B328" t="s">
        <v>270</v>
      </c>
    </row>
    <row r="329" spans="2:2">
      <c r="B329" t="s">
        <v>271</v>
      </c>
    </row>
    <row r="330" spans="2:2">
      <c r="B330" t="s">
        <v>545</v>
      </c>
    </row>
    <row r="331" spans="2:2">
      <c r="B331" t="s">
        <v>272</v>
      </c>
    </row>
    <row r="332" spans="2:2">
      <c r="B332" t="s">
        <v>477</v>
      </c>
    </row>
    <row r="333" spans="2:2">
      <c r="B333" t="s">
        <v>478</v>
      </c>
    </row>
    <row r="334" spans="2:2">
      <c r="B334" t="s">
        <v>447</v>
      </c>
    </row>
    <row r="335" spans="2:2">
      <c r="B335" t="s">
        <v>501</v>
      </c>
    </row>
    <row r="336" spans="2:2">
      <c r="B336" t="s">
        <v>257</v>
      </c>
    </row>
    <row r="337" spans="2:2">
      <c r="B337" t="s">
        <v>258</v>
      </c>
    </row>
    <row r="338" spans="2:2">
      <c r="B338" t="s">
        <v>259</v>
      </c>
    </row>
    <row r="339" spans="2:2">
      <c r="B339" t="s">
        <v>260</v>
      </c>
    </row>
    <row r="340" spans="2:2">
      <c r="B340" t="s">
        <v>448</v>
      </c>
    </row>
    <row r="341" spans="2:2">
      <c r="B341" t="s">
        <v>468</v>
      </c>
    </row>
    <row r="342" spans="2:2">
      <c r="B342" t="s">
        <v>551</v>
      </c>
    </row>
    <row r="343" spans="2:2">
      <c r="B343" t="s">
        <v>465</v>
      </c>
    </row>
    <row r="344" spans="2:2">
      <c r="B344" t="s">
        <v>450</v>
      </c>
    </row>
    <row r="345" spans="2:2">
      <c r="B345" t="s">
        <v>265</v>
      </c>
    </row>
    <row r="346" spans="2:2">
      <c r="B346" t="s">
        <v>266</v>
      </c>
    </row>
    <row r="347" spans="2:2">
      <c r="B347" t="s">
        <v>267</v>
      </c>
    </row>
    <row r="348" spans="2:2">
      <c r="B348" t="s">
        <v>268</v>
      </c>
    </row>
    <row r="349" spans="2:2">
      <c r="B349" t="s">
        <v>269</v>
      </c>
    </row>
    <row r="350" spans="2:2">
      <c r="B350" t="s">
        <v>270</v>
      </c>
    </row>
    <row r="351" spans="2:2">
      <c r="B351" t="s">
        <v>271</v>
      </c>
    </row>
    <row r="352" spans="2:2">
      <c r="B352" t="s">
        <v>545</v>
      </c>
    </row>
    <row r="353" spans="2:2">
      <c r="B353" t="s">
        <v>272</v>
      </c>
    </row>
    <row r="354" spans="2:2">
      <c r="B354" t="s">
        <v>479</v>
      </c>
    </row>
    <row r="355" spans="2:2">
      <c r="B355" t="s">
        <v>480</v>
      </c>
    </row>
    <row r="356" spans="2:2">
      <c r="B356" t="s">
        <v>447</v>
      </c>
    </row>
    <row r="357" spans="2:2">
      <c r="B357" t="s">
        <v>471</v>
      </c>
    </row>
    <row r="358" spans="2:2">
      <c r="B358" t="s">
        <v>275</v>
      </c>
    </row>
    <row r="359" spans="2:2">
      <c r="B359" t="s">
        <v>258</v>
      </c>
    </row>
    <row r="360" spans="2:2">
      <c r="B360" t="s">
        <v>259</v>
      </c>
    </row>
    <row r="361" spans="2:2">
      <c r="B361" t="s">
        <v>276</v>
      </c>
    </row>
    <row r="362" spans="2:2">
      <c r="B362" t="s">
        <v>277</v>
      </c>
    </row>
    <row r="363" spans="2:2">
      <c r="B363" t="s">
        <v>472</v>
      </c>
    </row>
    <row r="364" spans="2:2">
      <c r="B364" t="s">
        <v>473</v>
      </c>
    </row>
    <row r="365" spans="2:2">
      <c r="B365" t="s">
        <v>385</v>
      </c>
    </row>
    <row r="366" spans="2:2">
      <c r="B366" t="s">
        <v>278</v>
      </c>
    </row>
    <row r="367" spans="2:2">
      <c r="B367" t="s">
        <v>474</v>
      </c>
    </row>
    <row r="368" spans="2:2">
      <c r="B368" t="s">
        <v>475</v>
      </c>
    </row>
    <row r="369" spans="2:2">
      <c r="B369" t="s">
        <v>267</v>
      </c>
    </row>
    <row r="370" spans="2:2">
      <c r="B370" t="s">
        <v>268</v>
      </c>
    </row>
    <row r="371" spans="2:2">
      <c r="B371" t="s">
        <v>269</v>
      </c>
    </row>
    <row r="372" spans="2:2">
      <c r="B372" t="s">
        <v>270</v>
      </c>
    </row>
    <row r="373" spans="2:2">
      <c r="B373" t="s">
        <v>476</v>
      </c>
    </row>
    <row r="374" spans="2:2">
      <c r="B374" t="s">
        <v>546</v>
      </c>
    </row>
    <row r="375" spans="2:2">
      <c r="B375" t="s">
        <v>272</v>
      </c>
    </row>
    <row r="376" spans="2:2">
      <c r="B376" t="s">
        <v>482</v>
      </c>
    </row>
    <row r="377" spans="2:2">
      <c r="B377" t="s">
        <v>483</v>
      </c>
    </row>
    <row r="378" spans="2:2">
      <c r="B378" t="s">
        <v>447</v>
      </c>
    </row>
    <row r="379" spans="2:2">
      <c r="B379" t="s">
        <v>471</v>
      </c>
    </row>
    <row r="380" spans="2:2">
      <c r="B380" t="s">
        <v>275</v>
      </c>
    </row>
    <row r="381" spans="2:2">
      <c r="B381" t="s">
        <v>258</v>
      </c>
    </row>
    <row r="382" spans="2:2">
      <c r="B382" t="s">
        <v>259</v>
      </c>
    </row>
    <row r="383" spans="2:2">
      <c r="B383" t="s">
        <v>279</v>
      </c>
    </row>
    <row r="384" spans="2:2">
      <c r="B384" t="s">
        <v>280</v>
      </c>
    </row>
    <row r="385" spans="2:2">
      <c r="B385" t="s">
        <v>418</v>
      </c>
    </row>
    <row r="386" spans="2:2">
      <c r="B386" t="s">
        <v>464</v>
      </c>
    </row>
    <row r="387" spans="2:2">
      <c r="B387" t="s">
        <v>283</v>
      </c>
    </row>
    <row r="388" spans="2:2">
      <c r="B388" t="s">
        <v>264</v>
      </c>
    </row>
    <row r="389" spans="2:2">
      <c r="B389" t="s">
        <v>265</v>
      </c>
    </row>
    <row r="390" spans="2:2">
      <c r="B390" t="s">
        <v>266</v>
      </c>
    </row>
    <row r="391" spans="2:2">
      <c r="B391" t="s">
        <v>267</v>
      </c>
    </row>
    <row r="392" spans="2:2">
      <c r="B392" t="s">
        <v>268</v>
      </c>
    </row>
    <row r="393" spans="2:2">
      <c r="B393" t="s">
        <v>269</v>
      </c>
    </row>
    <row r="394" spans="2:2">
      <c r="B394" t="s">
        <v>270</v>
      </c>
    </row>
    <row r="395" spans="2:2">
      <c r="B395" t="s">
        <v>476</v>
      </c>
    </row>
    <row r="396" spans="2:2">
      <c r="B396" t="s">
        <v>546</v>
      </c>
    </row>
    <row r="397" spans="2:2">
      <c r="B397" t="s">
        <v>272</v>
      </c>
    </row>
    <row r="398" spans="2:2">
      <c r="B398" t="s">
        <v>484</v>
      </c>
    </row>
    <row r="399" spans="2:2">
      <c r="B399" t="s">
        <v>485</v>
      </c>
    </row>
    <row r="400" spans="2:2">
      <c r="B400" t="s">
        <v>447</v>
      </c>
    </row>
    <row r="401" spans="2:2">
      <c r="B401" t="s">
        <v>471</v>
      </c>
    </row>
    <row r="402" spans="2:2">
      <c r="B402" t="s">
        <v>275</v>
      </c>
    </row>
    <row r="403" spans="2:2">
      <c r="B403" t="s">
        <v>258</v>
      </c>
    </row>
    <row r="404" spans="2:2">
      <c r="B404" t="s">
        <v>259</v>
      </c>
    </row>
    <row r="405" spans="2:2">
      <c r="B405" t="s">
        <v>436</v>
      </c>
    </row>
    <row r="406" spans="2:2">
      <c r="B406" t="s">
        <v>437</v>
      </c>
    </row>
    <row r="407" spans="2:2">
      <c r="B407" t="s">
        <v>416</v>
      </c>
    </row>
    <row r="408" spans="2:2">
      <c r="B408" t="s">
        <v>262</v>
      </c>
    </row>
    <row r="409" spans="2:2">
      <c r="B409" t="s">
        <v>481</v>
      </c>
    </row>
    <row r="410" spans="2:2">
      <c r="B410" t="s">
        <v>264</v>
      </c>
    </row>
    <row r="411" spans="2:2">
      <c r="B411" t="s">
        <v>265</v>
      </c>
    </row>
    <row r="412" spans="2:2">
      <c r="B412" t="s">
        <v>266</v>
      </c>
    </row>
    <row r="413" spans="2:2">
      <c r="B413" t="s">
        <v>267</v>
      </c>
    </row>
    <row r="414" spans="2:2">
      <c r="B414" t="s">
        <v>268</v>
      </c>
    </row>
    <row r="415" spans="2:2">
      <c r="B415" t="s">
        <v>269</v>
      </c>
    </row>
    <row r="416" spans="2:2">
      <c r="B416" t="s">
        <v>270</v>
      </c>
    </row>
    <row r="417" spans="2:2">
      <c r="B417" t="s">
        <v>476</v>
      </c>
    </row>
    <row r="418" spans="2:2">
      <c r="B418" t="s">
        <v>546</v>
      </c>
    </row>
    <row r="419" spans="2:2">
      <c r="B419" t="s">
        <v>272</v>
      </c>
    </row>
    <row r="420" spans="2:2">
      <c r="B420" t="s">
        <v>490</v>
      </c>
    </row>
    <row r="421" spans="2:2">
      <c r="B421" t="s">
        <v>491</v>
      </c>
    </row>
    <row r="422" spans="2:2">
      <c r="B422" t="s">
        <v>447</v>
      </c>
    </row>
    <row r="423" spans="2:2">
      <c r="B423" t="s">
        <v>471</v>
      </c>
    </row>
    <row r="424" spans="2:2">
      <c r="B424" t="s">
        <v>257</v>
      </c>
    </row>
    <row r="425" spans="2:2">
      <c r="B425" t="s">
        <v>258</v>
      </c>
    </row>
    <row r="426" spans="2:2">
      <c r="B426" t="s">
        <v>259</v>
      </c>
    </row>
    <row r="427" spans="2:2">
      <c r="B427" t="s">
        <v>260</v>
      </c>
    </row>
    <row r="428" spans="2:2">
      <c r="B428" t="s">
        <v>261</v>
      </c>
    </row>
    <row r="429" spans="2:2">
      <c r="B429" t="s">
        <v>388</v>
      </c>
    </row>
    <row r="430" spans="2:2">
      <c r="B430" t="s">
        <v>262</v>
      </c>
    </row>
    <row r="431" spans="2:2">
      <c r="B431" t="s">
        <v>389</v>
      </c>
    </row>
    <row r="432" spans="2:2">
      <c r="B432" t="s">
        <v>264</v>
      </c>
    </row>
    <row r="433" spans="2:2">
      <c r="B433" t="s">
        <v>265</v>
      </c>
    </row>
    <row r="434" spans="2:2">
      <c r="B434" t="s">
        <v>266</v>
      </c>
    </row>
    <row r="435" spans="2:2">
      <c r="B435" t="s">
        <v>267</v>
      </c>
    </row>
    <row r="436" spans="2:2">
      <c r="B436" t="s">
        <v>268</v>
      </c>
    </row>
    <row r="437" spans="2:2">
      <c r="B437" t="s">
        <v>269</v>
      </c>
    </row>
    <row r="438" spans="2:2">
      <c r="B438" t="s">
        <v>270</v>
      </c>
    </row>
    <row r="439" spans="2:2">
      <c r="B439" t="s">
        <v>271</v>
      </c>
    </row>
    <row r="440" spans="2:2">
      <c r="B440" t="s">
        <v>545</v>
      </c>
    </row>
    <row r="441" spans="2:2">
      <c r="B441" t="s">
        <v>272</v>
      </c>
    </row>
    <row r="442" spans="2:2">
      <c r="B442" t="s">
        <v>498</v>
      </c>
    </row>
    <row r="443" spans="2:2">
      <c r="B443" t="s">
        <v>499</v>
      </c>
    </row>
    <row r="444" spans="2:2">
      <c r="B444" t="s">
        <v>447</v>
      </c>
    </row>
    <row r="445" spans="2:2">
      <c r="B445" t="s">
        <v>471</v>
      </c>
    </row>
    <row r="446" spans="2:2">
      <c r="B446" t="s">
        <v>257</v>
      </c>
    </row>
    <row r="447" spans="2:2">
      <c r="B447" t="s">
        <v>258</v>
      </c>
    </row>
    <row r="448" spans="2:2">
      <c r="B448" t="s">
        <v>259</v>
      </c>
    </row>
    <row r="449" spans="2:2">
      <c r="B449" t="s">
        <v>260</v>
      </c>
    </row>
    <row r="450" spans="2:2">
      <c r="B450" t="s">
        <v>420</v>
      </c>
    </row>
    <row r="451" spans="2:2">
      <c r="B451" t="s">
        <v>486</v>
      </c>
    </row>
    <row r="452" spans="2:2">
      <c r="B452" t="s">
        <v>262</v>
      </c>
    </row>
    <row r="453" spans="2:2">
      <c r="B453" t="s">
        <v>487</v>
      </c>
    </row>
    <row r="454" spans="2:2">
      <c r="B454" t="s">
        <v>423</v>
      </c>
    </row>
    <row r="455" spans="2:2">
      <c r="B455" t="s">
        <v>488</v>
      </c>
    </row>
    <row r="456" spans="2:2">
      <c r="B456" t="s">
        <v>425</v>
      </c>
    </row>
    <row r="457" spans="2:2">
      <c r="B457" t="s">
        <v>426</v>
      </c>
    </row>
    <row r="458" spans="2:2">
      <c r="B458" t="s">
        <v>427</v>
      </c>
    </row>
    <row r="459" spans="2:2">
      <c r="B459" t="s">
        <v>269</v>
      </c>
    </row>
    <row r="460" spans="2:2">
      <c r="B460" t="s">
        <v>270</v>
      </c>
    </row>
    <row r="461" spans="2:2">
      <c r="B461" t="s">
        <v>271</v>
      </c>
    </row>
    <row r="462" spans="2:2">
      <c r="B462" t="s">
        <v>545</v>
      </c>
    </row>
    <row r="463" spans="2:2">
      <c r="B463" t="s">
        <v>272</v>
      </c>
    </row>
    <row r="464" spans="2:2">
      <c r="B464" t="s">
        <v>505</v>
      </c>
    </row>
    <row r="465" spans="2:2">
      <c r="B465" t="s">
        <v>506</v>
      </c>
    </row>
    <row r="466" spans="2:2">
      <c r="B466" t="s">
        <v>547</v>
      </c>
    </row>
    <row r="467" spans="2:2">
      <c r="B467" t="s">
        <v>415</v>
      </c>
    </row>
    <row r="468" spans="2:2">
      <c r="B468" t="s">
        <v>275</v>
      </c>
    </row>
    <row r="469" spans="2:2">
      <c r="B469" t="s">
        <v>258</v>
      </c>
    </row>
    <row r="470" spans="2:2">
      <c r="B470" t="s">
        <v>259</v>
      </c>
    </row>
    <row r="471" spans="2:2">
      <c r="B471" t="s">
        <v>276</v>
      </c>
    </row>
    <row r="472" spans="2:2">
      <c r="B472" t="s">
        <v>277</v>
      </c>
    </row>
    <row r="473" spans="2:2">
      <c r="B473" t="s">
        <v>416</v>
      </c>
    </row>
    <row r="474" spans="2:2">
      <c r="B474" t="s">
        <v>417</v>
      </c>
    </row>
    <row r="475" spans="2:2">
      <c r="B475" t="s">
        <v>385</v>
      </c>
    </row>
    <row r="476" spans="2:2">
      <c r="B476" t="s">
        <v>278</v>
      </c>
    </row>
    <row r="477" spans="2:2">
      <c r="B477" t="s">
        <v>291</v>
      </c>
    </row>
    <row r="478" spans="2:2">
      <c r="B478" t="s">
        <v>292</v>
      </c>
    </row>
    <row r="479" spans="2:2">
      <c r="B479" t="s">
        <v>267</v>
      </c>
    </row>
    <row r="480" spans="2:2">
      <c r="B480" t="s">
        <v>268</v>
      </c>
    </row>
    <row r="481" spans="2:2">
      <c r="B481" t="s">
        <v>269</v>
      </c>
    </row>
    <row r="482" spans="2:2">
      <c r="B482" t="s">
        <v>270</v>
      </c>
    </row>
    <row r="483" spans="2:2">
      <c r="B483" t="s">
        <v>271</v>
      </c>
    </row>
    <row r="484" spans="2:2">
      <c r="B484" t="s">
        <v>545</v>
      </c>
    </row>
    <row r="485" spans="2:2">
      <c r="B485" t="s">
        <v>272</v>
      </c>
    </row>
    <row r="486" spans="2:2">
      <c r="B486" t="s">
        <v>507</v>
      </c>
    </row>
    <row r="487" spans="2:2">
      <c r="B487" t="s">
        <v>508</v>
      </c>
    </row>
    <row r="488" spans="2:2">
      <c r="B488" t="s">
        <v>547</v>
      </c>
    </row>
    <row r="489" spans="2:2">
      <c r="B489" t="s">
        <v>415</v>
      </c>
    </row>
    <row r="490" spans="2:2">
      <c r="B490" t="s">
        <v>275</v>
      </c>
    </row>
    <row r="491" spans="2:2">
      <c r="B491" t="s">
        <v>258</v>
      </c>
    </row>
    <row r="492" spans="2:2">
      <c r="B492" t="s">
        <v>259</v>
      </c>
    </row>
    <row r="493" spans="2:2">
      <c r="B493" t="s">
        <v>279</v>
      </c>
    </row>
    <row r="494" spans="2:2">
      <c r="B494" t="s">
        <v>280</v>
      </c>
    </row>
    <row r="495" spans="2:2">
      <c r="B495" t="s">
        <v>418</v>
      </c>
    </row>
    <row r="496" spans="2:2">
      <c r="B496" t="s">
        <v>282</v>
      </c>
    </row>
    <row r="497" spans="2:2">
      <c r="B497" t="s">
        <v>283</v>
      </c>
    </row>
    <row r="498" spans="2:2">
      <c r="B498" t="s">
        <v>264</v>
      </c>
    </row>
    <row r="499" spans="2:2">
      <c r="B499" t="s">
        <v>265</v>
      </c>
    </row>
    <row r="500" spans="2:2">
      <c r="B500" t="s">
        <v>266</v>
      </c>
    </row>
    <row r="501" spans="2:2">
      <c r="B501" t="s">
        <v>267</v>
      </c>
    </row>
    <row r="502" spans="2:2">
      <c r="B502" t="s">
        <v>268</v>
      </c>
    </row>
    <row r="503" spans="2:2">
      <c r="B503" t="s">
        <v>269</v>
      </c>
    </row>
    <row r="504" spans="2:2">
      <c r="B504" t="s">
        <v>270</v>
      </c>
    </row>
    <row r="505" spans="2:2">
      <c r="B505" t="s">
        <v>271</v>
      </c>
    </row>
    <row r="506" spans="2:2">
      <c r="B506" t="s">
        <v>545</v>
      </c>
    </row>
    <row r="507" spans="2:2">
      <c r="B507" t="s">
        <v>272</v>
      </c>
    </row>
    <row r="508" spans="2:2">
      <c r="B508" t="s">
        <v>509</v>
      </c>
    </row>
    <row r="509" spans="2:2">
      <c r="B509" t="s">
        <v>510</v>
      </c>
    </row>
    <row r="510" spans="2:2">
      <c r="B510" t="s">
        <v>547</v>
      </c>
    </row>
    <row r="511" spans="2:2">
      <c r="B511" t="s">
        <v>419</v>
      </c>
    </row>
    <row r="512" spans="2:2">
      <c r="B512" t="s">
        <v>275</v>
      </c>
    </row>
    <row r="513" spans="2:2">
      <c r="B513" t="s">
        <v>258</v>
      </c>
    </row>
    <row r="514" spans="2:2">
      <c r="B514" t="s">
        <v>259</v>
      </c>
    </row>
    <row r="515" spans="2:2">
      <c r="B515" t="s">
        <v>260</v>
      </c>
    </row>
    <row r="516" spans="2:2">
      <c r="B516" t="s">
        <v>420</v>
      </c>
    </row>
    <row r="517" spans="2:2">
      <c r="B517" t="s">
        <v>421</v>
      </c>
    </row>
    <row r="518" spans="2:2">
      <c r="B518" t="s">
        <v>262</v>
      </c>
    </row>
    <row r="519" spans="2:2">
      <c r="B519" t="s">
        <v>422</v>
      </c>
    </row>
    <row r="520" spans="2:2">
      <c r="B520" t="s">
        <v>423</v>
      </c>
    </row>
    <row r="521" spans="2:2">
      <c r="B521" t="s">
        <v>424</v>
      </c>
    </row>
    <row r="522" spans="2:2">
      <c r="B522" t="s">
        <v>425</v>
      </c>
    </row>
    <row r="523" spans="2:2">
      <c r="B523" t="s">
        <v>426</v>
      </c>
    </row>
    <row r="524" spans="2:2">
      <c r="B524" t="s">
        <v>427</v>
      </c>
    </row>
    <row r="525" spans="2:2">
      <c r="B525" t="s">
        <v>269</v>
      </c>
    </row>
    <row r="526" spans="2:2">
      <c r="B526" t="s">
        <v>270</v>
      </c>
    </row>
    <row r="527" spans="2:2">
      <c r="B527" t="s">
        <v>271</v>
      </c>
    </row>
    <row r="528" spans="2:2">
      <c r="B528" t="s">
        <v>545</v>
      </c>
    </row>
    <row r="529" spans="2:2">
      <c r="B529" t="s">
        <v>272</v>
      </c>
    </row>
    <row r="530" spans="2:2">
      <c r="B530" t="s">
        <v>511</v>
      </c>
    </row>
    <row r="531" spans="2:2">
      <c r="B531" t="s">
        <v>512</v>
      </c>
    </row>
    <row r="532" spans="2:2">
      <c r="B532" t="s">
        <v>548</v>
      </c>
    </row>
    <row r="533" spans="2:2">
      <c r="B533" t="s">
        <v>429</v>
      </c>
    </row>
    <row r="534" spans="2:2">
      <c r="B534" t="s">
        <v>257</v>
      </c>
    </row>
    <row r="535" spans="2:2">
      <c r="B535" t="s">
        <v>258</v>
      </c>
    </row>
    <row r="536" spans="2:2">
      <c r="B536" t="s">
        <v>259</v>
      </c>
    </row>
    <row r="537" spans="2:2">
      <c r="B537" t="s">
        <v>260</v>
      </c>
    </row>
    <row r="538" spans="2:2">
      <c r="B538" t="s">
        <v>261</v>
      </c>
    </row>
    <row r="539" spans="2:2">
      <c r="B539" t="s">
        <v>416</v>
      </c>
    </row>
    <row r="540" spans="2:2">
      <c r="B540" t="s">
        <v>262</v>
      </c>
    </row>
    <row r="541" spans="2:2">
      <c r="B541" t="s">
        <v>430</v>
      </c>
    </row>
    <row r="542" spans="2:2">
      <c r="B542" t="s">
        <v>264</v>
      </c>
    </row>
    <row r="543" spans="2:2">
      <c r="B543" t="s">
        <v>265</v>
      </c>
    </row>
    <row r="544" spans="2:2">
      <c r="B544" t="s">
        <v>266</v>
      </c>
    </row>
    <row r="545" spans="2:2">
      <c r="B545" t="s">
        <v>267</v>
      </c>
    </row>
    <row r="546" spans="2:2">
      <c r="B546" t="s">
        <v>268</v>
      </c>
    </row>
    <row r="547" spans="2:2">
      <c r="B547" t="s">
        <v>269</v>
      </c>
    </row>
    <row r="548" spans="2:2">
      <c r="B548" t="s">
        <v>270</v>
      </c>
    </row>
    <row r="549" spans="2:2">
      <c r="B549" t="s">
        <v>271</v>
      </c>
    </row>
    <row r="550" spans="2:2">
      <c r="B550" t="s">
        <v>545</v>
      </c>
    </row>
    <row r="551" spans="2:2">
      <c r="B551" t="s">
        <v>272</v>
      </c>
    </row>
    <row r="552" spans="2:2">
      <c r="B552" t="s">
        <v>513</v>
      </c>
    </row>
    <row r="553" spans="2:2">
      <c r="B553" t="s">
        <v>514</v>
      </c>
    </row>
    <row r="554" spans="2:2">
      <c r="B554" t="s">
        <v>548</v>
      </c>
    </row>
    <row r="555" spans="2:2">
      <c r="B555" t="s">
        <v>431</v>
      </c>
    </row>
    <row r="556" spans="2:2">
      <c r="B556" t="s">
        <v>275</v>
      </c>
    </row>
    <row r="557" spans="2:2">
      <c r="B557" t="s">
        <v>258</v>
      </c>
    </row>
    <row r="558" spans="2:2">
      <c r="B558" t="s">
        <v>259</v>
      </c>
    </row>
    <row r="559" spans="2:2">
      <c r="B559" t="s">
        <v>276</v>
      </c>
    </row>
    <row r="560" spans="2:2">
      <c r="B560" t="s">
        <v>277</v>
      </c>
    </row>
    <row r="561" spans="2:2">
      <c r="B561" t="s">
        <v>432</v>
      </c>
    </row>
    <row r="562" spans="2:2">
      <c r="B562" t="s">
        <v>433</v>
      </c>
    </row>
    <row r="563" spans="2:2">
      <c r="B563" t="s">
        <v>385</v>
      </c>
    </row>
    <row r="564" spans="2:2">
      <c r="B564" t="s">
        <v>278</v>
      </c>
    </row>
    <row r="565" spans="2:2">
      <c r="B565" t="s">
        <v>291</v>
      </c>
    </row>
    <row r="566" spans="2:2">
      <c r="B566" t="s">
        <v>292</v>
      </c>
    </row>
    <row r="567" spans="2:2">
      <c r="B567" t="s">
        <v>267</v>
      </c>
    </row>
    <row r="568" spans="2:2">
      <c r="B568" t="s">
        <v>268</v>
      </c>
    </row>
    <row r="569" spans="2:2">
      <c r="B569" t="s">
        <v>269</v>
      </c>
    </row>
    <row r="570" spans="2:2">
      <c r="B570" t="s">
        <v>270</v>
      </c>
    </row>
    <row r="571" spans="2:2">
      <c r="B571" t="s">
        <v>271</v>
      </c>
    </row>
    <row r="572" spans="2:2">
      <c r="B572" t="s">
        <v>545</v>
      </c>
    </row>
    <row r="573" spans="2:2">
      <c r="B573" t="s">
        <v>272</v>
      </c>
    </row>
    <row r="574" spans="2:2">
      <c r="B574" t="s">
        <v>515</v>
      </c>
    </row>
    <row r="575" spans="2:2">
      <c r="B575" t="s">
        <v>516</v>
      </c>
    </row>
    <row r="576" spans="2:2">
      <c r="B576" t="s">
        <v>548</v>
      </c>
    </row>
    <row r="577" spans="2:2">
      <c r="B577" t="s">
        <v>431</v>
      </c>
    </row>
    <row r="578" spans="2:2">
      <c r="B578" t="s">
        <v>275</v>
      </c>
    </row>
    <row r="579" spans="2:2">
      <c r="B579" t="s">
        <v>258</v>
      </c>
    </row>
    <row r="580" spans="2:2">
      <c r="B580" t="s">
        <v>259</v>
      </c>
    </row>
    <row r="581" spans="2:2">
      <c r="B581" t="s">
        <v>279</v>
      </c>
    </row>
    <row r="582" spans="2:2">
      <c r="B582" t="s">
        <v>280</v>
      </c>
    </row>
    <row r="583" spans="2:2">
      <c r="B583" t="s">
        <v>281</v>
      </c>
    </row>
    <row r="584" spans="2:2">
      <c r="B584" t="s">
        <v>282</v>
      </c>
    </row>
    <row r="585" spans="2:2">
      <c r="B585" t="s">
        <v>283</v>
      </c>
    </row>
    <row r="586" spans="2:2">
      <c r="B586" t="s">
        <v>264</v>
      </c>
    </row>
    <row r="587" spans="2:2">
      <c r="B587" t="s">
        <v>265</v>
      </c>
    </row>
    <row r="588" spans="2:2">
      <c r="B588" t="s">
        <v>266</v>
      </c>
    </row>
    <row r="589" spans="2:2">
      <c r="B589" t="s">
        <v>267</v>
      </c>
    </row>
    <row r="590" spans="2:2">
      <c r="B590" t="s">
        <v>268</v>
      </c>
    </row>
    <row r="591" spans="2:2">
      <c r="B591" t="s">
        <v>269</v>
      </c>
    </row>
    <row r="592" spans="2:2">
      <c r="B592" t="s">
        <v>270</v>
      </c>
    </row>
    <row r="593" spans="2:2">
      <c r="B593" t="s">
        <v>271</v>
      </c>
    </row>
    <row r="594" spans="2:2">
      <c r="B594" t="s">
        <v>545</v>
      </c>
    </row>
    <row r="595" spans="2:2">
      <c r="B595" t="s">
        <v>272</v>
      </c>
    </row>
    <row r="596" spans="2:2">
      <c r="B596" t="s">
        <v>517</v>
      </c>
    </row>
    <row r="597" spans="2:2">
      <c r="B597" t="s">
        <v>518</v>
      </c>
    </row>
    <row r="598" spans="2:2">
      <c r="B598" t="s">
        <v>548</v>
      </c>
    </row>
    <row r="599" spans="2:2">
      <c r="B599" t="s">
        <v>431</v>
      </c>
    </row>
    <row r="600" spans="2:2">
      <c r="B600" t="s">
        <v>290</v>
      </c>
    </row>
    <row r="601" spans="2:2">
      <c r="B601" t="s">
        <v>258</v>
      </c>
    </row>
    <row r="602" spans="2:2">
      <c r="B602" t="s">
        <v>259</v>
      </c>
    </row>
    <row r="603" spans="2:2">
      <c r="B603" t="s">
        <v>276</v>
      </c>
    </row>
    <row r="604" spans="2:2">
      <c r="B604" t="s">
        <v>277</v>
      </c>
    </row>
    <row r="605" spans="2:2">
      <c r="B605" t="s">
        <v>418</v>
      </c>
    </row>
    <row r="606" spans="2:2">
      <c r="B606" t="s">
        <v>433</v>
      </c>
    </row>
    <row r="607" spans="2:2">
      <c r="B607" t="s">
        <v>385</v>
      </c>
    </row>
    <row r="608" spans="2:2">
      <c r="B608" t="s">
        <v>278</v>
      </c>
    </row>
    <row r="609" spans="2:2">
      <c r="B609" t="s">
        <v>291</v>
      </c>
    </row>
    <row r="610" spans="2:2">
      <c r="B610" t="s">
        <v>292</v>
      </c>
    </row>
    <row r="611" spans="2:2">
      <c r="B611" t="s">
        <v>267</v>
      </c>
    </row>
    <row r="612" spans="2:2">
      <c r="B612" t="s">
        <v>268</v>
      </c>
    </row>
    <row r="613" spans="2:2">
      <c r="B613" t="s">
        <v>269</v>
      </c>
    </row>
    <row r="614" spans="2:2">
      <c r="B614" t="s">
        <v>270</v>
      </c>
    </row>
    <row r="615" spans="2:2">
      <c r="B615" t="s">
        <v>271</v>
      </c>
    </row>
    <row r="616" spans="2:2">
      <c r="B616" t="s">
        <v>555</v>
      </c>
    </row>
    <row r="617" spans="2:2">
      <c r="B617" t="s">
        <v>272</v>
      </c>
    </row>
    <row r="618" spans="2:2">
      <c r="B618" t="s">
        <v>519</v>
      </c>
    </row>
    <row r="619" spans="2:2">
      <c r="B619" t="s">
        <v>520</v>
      </c>
    </row>
    <row r="620" spans="2:2">
      <c r="B620" t="s">
        <v>548</v>
      </c>
    </row>
    <row r="621" spans="2:2">
      <c r="B621" t="s">
        <v>431</v>
      </c>
    </row>
    <row r="622" spans="2:2">
      <c r="B622" t="s">
        <v>290</v>
      </c>
    </row>
    <row r="623" spans="2:2">
      <c r="B623" t="s">
        <v>258</v>
      </c>
    </row>
    <row r="624" spans="2:2">
      <c r="B624" t="s">
        <v>259</v>
      </c>
    </row>
    <row r="625" spans="2:2">
      <c r="B625" t="s">
        <v>436</v>
      </c>
    </row>
    <row r="626" spans="2:2">
      <c r="B626" t="s">
        <v>437</v>
      </c>
    </row>
    <row r="627" spans="2:2">
      <c r="B627" t="s">
        <v>438</v>
      </c>
    </row>
    <row r="628" spans="2:2">
      <c r="B628" t="s">
        <v>262</v>
      </c>
    </row>
    <row r="629" spans="2:2">
      <c r="B629" t="s">
        <v>263</v>
      </c>
    </row>
    <row r="630" spans="2:2">
      <c r="B630" t="s">
        <v>264</v>
      </c>
    </row>
    <row r="631" spans="2:2">
      <c r="B631" t="s">
        <v>265</v>
      </c>
    </row>
    <row r="632" spans="2:2">
      <c r="B632" t="s">
        <v>266</v>
      </c>
    </row>
    <row r="633" spans="2:2">
      <c r="B633" t="s">
        <v>267</v>
      </c>
    </row>
    <row r="634" spans="2:2">
      <c r="B634" t="s">
        <v>268</v>
      </c>
    </row>
    <row r="635" spans="2:2">
      <c r="B635" t="s">
        <v>269</v>
      </c>
    </row>
    <row r="636" spans="2:2">
      <c r="B636" t="s">
        <v>270</v>
      </c>
    </row>
    <row r="637" spans="2:2">
      <c r="B637" t="s">
        <v>271</v>
      </c>
    </row>
    <row r="638" spans="2:2">
      <c r="B638" t="s">
        <v>545</v>
      </c>
    </row>
    <row r="639" spans="2:2">
      <c r="B639" t="s">
        <v>272</v>
      </c>
    </row>
    <row r="640" spans="2:2">
      <c r="B640" t="s">
        <v>521</v>
      </c>
    </row>
    <row r="641" spans="2:2">
      <c r="B641" t="s">
        <v>522</v>
      </c>
    </row>
    <row r="642" spans="2:2">
      <c r="B642" t="s">
        <v>548</v>
      </c>
    </row>
    <row r="643" spans="2:2">
      <c r="B643" t="s">
        <v>431</v>
      </c>
    </row>
    <row r="644" spans="2:2">
      <c r="B644" t="s">
        <v>439</v>
      </c>
    </row>
    <row r="645" spans="2:2">
      <c r="B645" t="s">
        <v>258</v>
      </c>
    </row>
    <row r="646" spans="2:2">
      <c r="B646" t="s">
        <v>259</v>
      </c>
    </row>
    <row r="647" spans="2:2">
      <c r="B647" t="s">
        <v>276</v>
      </c>
    </row>
    <row r="648" spans="2:2">
      <c r="B648" t="s">
        <v>277</v>
      </c>
    </row>
    <row r="649" spans="2:2">
      <c r="B649" t="s">
        <v>432</v>
      </c>
    </row>
    <row r="650" spans="2:2">
      <c r="B650" t="s">
        <v>262</v>
      </c>
    </row>
    <row r="651" spans="2:2">
      <c r="B651" t="s">
        <v>385</v>
      </c>
    </row>
    <row r="652" spans="2:2">
      <c r="B652" t="s">
        <v>278</v>
      </c>
    </row>
    <row r="653" spans="2:2">
      <c r="B653" t="s">
        <v>291</v>
      </c>
    </row>
    <row r="654" spans="2:2">
      <c r="B654" t="s">
        <v>292</v>
      </c>
    </row>
    <row r="655" spans="2:2">
      <c r="B655" t="s">
        <v>267</v>
      </c>
    </row>
    <row r="656" spans="2:2">
      <c r="B656" t="s">
        <v>268</v>
      </c>
    </row>
    <row r="657" spans="2:2">
      <c r="B657" t="s">
        <v>269</v>
      </c>
    </row>
    <row r="658" spans="2:2">
      <c r="B658" t="s">
        <v>270</v>
      </c>
    </row>
    <row r="659" spans="2:2">
      <c r="B659" t="s">
        <v>271</v>
      </c>
    </row>
    <row r="660" spans="2:2">
      <c r="B660" t="s">
        <v>545</v>
      </c>
    </row>
    <row r="661" spans="2:2">
      <c r="B661" t="s">
        <v>272</v>
      </c>
    </row>
    <row r="662" spans="2:2">
      <c r="B662" t="s">
        <v>523</v>
      </c>
    </row>
    <row r="663" spans="2:2">
      <c r="B663" t="s">
        <v>524</v>
      </c>
    </row>
    <row r="664" spans="2:2">
      <c r="B664" t="s">
        <v>548</v>
      </c>
    </row>
    <row r="665" spans="2:2">
      <c r="B665" t="s">
        <v>431</v>
      </c>
    </row>
    <row r="666" spans="2:2">
      <c r="B666" t="s">
        <v>439</v>
      </c>
    </row>
    <row r="667" spans="2:2">
      <c r="B667" t="s">
        <v>258</v>
      </c>
    </row>
    <row r="668" spans="2:2">
      <c r="B668" t="s">
        <v>259</v>
      </c>
    </row>
    <row r="669" spans="2:2">
      <c r="B669" t="s">
        <v>436</v>
      </c>
    </row>
    <row r="670" spans="2:2">
      <c r="B670" t="s">
        <v>437</v>
      </c>
    </row>
    <row r="671" spans="2:2">
      <c r="B671" t="s">
        <v>442</v>
      </c>
    </row>
    <row r="672" spans="2:2">
      <c r="B672" t="s">
        <v>262</v>
      </c>
    </row>
    <row r="673" spans="2:2">
      <c r="B673" t="s">
        <v>263</v>
      </c>
    </row>
    <row r="674" spans="2:2">
      <c r="B674" t="s">
        <v>264</v>
      </c>
    </row>
    <row r="675" spans="2:2">
      <c r="B675" t="s">
        <v>265</v>
      </c>
    </row>
    <row r="676" spans="2:2">
      <c r="B676" t="s">
        <v>266</v>
      </c>
    </row>
    <row r="677" spans="2:2">
      <c r="B677" t="s">
        <v>267</v>
      </c>
    </row>
    <row r="678" spans="2:2">
      <c r="B678" t="s">
        <v>268</v>
      </c>
    </row>
    <row r="679" spans="2:2">
      <c r="B679" t="s">
        <v>269</v>
      </c>
    </row>
    <row r="680" spans="2:2">
      <c r="B680" t="s">
        <v>270</v>
      </c>
    </row>
    <row r="681" spans="2:2">
      <c r="B681" t="s">
        <v>271</v>
      </c>
    </row>
    <row r="682" spans="2:2">
      <c r="B682" t="s">
        <v>545</v>
      </c>
    </row>
    <row r="683" spans="2:2">
      <c r="B683" t="s">
        <v>272</v>
      </c>
    </row>
    <row r="684" spans="2:2">
      <c r="B684" t="s">
        <v>525</v>
      </c>
    </row>
    <row r="685" spans="2:2">
      <c r="B685" t="s">
        <v>526</v>
      </c>
    </row>
    <row r="686" spans="2:2">
      <c r="B686" t="s">
        <v>548</v>
      </c>
    </row>
    <row r="687" spans="2:2">
      <c r="B687" t="s">
        <v>443</v>
      </c>
    </row>
    <row r="688" spans="2:2">
      <c r="B688" t="s">
        <v>275</v>
      </c>
    </row>
    <row r="689" spans="2:2">
      <c r="B689" t="s">
        <v>258</v>
      </c>
    </row>
    <row r="690" spans="2:2">
      <c r="B690" t="s">
        <v>259</v>
      </c>
    </row>
    <row r="691" spans="2:2">
      <c r="B691" t="s">
        <v>260</v>
      </c>
    </row>
    <row r="692" spans="2:2">
      <c r="B692" t="s">
        <v>420</v>
      </c>
    </row>
    <row r="693" spans="2:2">
      <c r="B693" t="s">
        <v>444</v>
      </c>
    </row>
    <row r="694" spans="2:2">
      <c r="B694" t="s">
        <v>262</v>
      </c>
    </row>
    <row r="695" spans="2:2">
      <c r="B695" t="s">
        <v>445</v>
      </c>
    </row>
    <row r="696" spans="2:2">
      <c r="B696" t="s">
        <v>423</v>
      </c>
    </row>
    <row r="697" spans="2:2">
      <c r="B697" t="s">
        <v>446</v>
      </c>
    </row>
    <row r="698" spans="2:2">
      <c r="B698" t="s">
        <v>425</v>
      </c>
    </row>
    <row r="699" spans="2:2">
      <c r="B699" t="s">
        <v>426</v>
      </c>
    </row>
    <row r="700" spans="2:2">
      <c r="B700" t="s">
        <v>427</v>
      </c>
    </row>
    <row r="701" spans="2:2">
      <c r="B701" t="s">
        <v>269</v>
      </c>
    </row>
    <row r="702" spans="2:2">
      <c r="B702" t="s">
        <v>270</v>
      </c>
    </row>
    <row r="703" spans="2:2">
      <c r="B703" t="s">
        <v>271</v>
      </c>
    </row>
    <row r="704" spans="2:2">
      <c r="B704" t="s">
        <v>545</v>
      </c>
    </row>
    <row r="705" spans="2:2">
      <c r="B705" t="s">
        <v>272</v>
      </c>
    </row>
    <row r="706" spans="2:2">
      <c r="B706" t="s">
        <v>527</v>
      </c>
    </row>
    <row r="707" spans="2:2">
      <c r="B707" t="s">
        <v>528</v>
      </c>
    </row>
    <row r="708" spans="2:2">
      <c r="B708" t="s">
        <v>549</v>
      </c>
    </row>
    <row r="709" spans="2:2">
      <c r="B709" t="s">
        <v>492</v>
      </c>
    </row>
    <row r="710" spans="2:2">
      <c r="B710" t="s">
        <v>257</v>
      </c>
    </row>
    <row r="711" spans="2:2">
      <c r="B711" t="s">
        <v>258</v>
      </c>
    </row>
    <row r="712" spans="2:2">
      <c r="B712" t="s">
        <v>259</v>
      </c>
    </row>
    <row r="713" spans="2:2">
      <c r="B713" t="s">
        <v>260</v>
      </c>
    </row>
    <row r="714" spans="2:2">
      <c r="B714" t="s">
        <v>489</v>
      </c>
    </row>
    <row r="715" spans="2:2">
      <c r="B715" t="s">
        <v>500</v>
      </c>
    </row>
    <row r="716" spans="2:2">
      <c r="B716" t="s">
        <v>262</v>
      </c>
    </row>
    <row r="717" spans="2:2">
      <c r="B717" t="s">
        <v>449</v>
      </c>
    </row>
    <row r="718" spans="2:2">
      <c r="B718" t="s">
        <v>457</v>
      </c>
    </row>
    <row r="719" spans="2:2">
      <c r="B719" t="s">
        <v>265</v>
      </c>
    </row>
    <row r="720" spans="2:2">
      <c r="B720" t="s">
        <v>266</v>
      </c>
    </row>
    <row r="721" spans="2:2">
      <c r="B721" t="s">
        <v>267</v>
      </c>
    </row>
    <row r="722" spans="2:2">
      <c r="B722" t="s">
        <v>268</v>
      </c>
    </row>
    <row r="723" spans="2:2">
      <c r="B723" t="s">
        <v>269</v>
      </c>
    </row>
    <row r="724" spans="2:2">
      <c r="B724" t="s">
        <v>270</v>
      </c>
    </row>
    <row r="725" spans="2:2">
      <c r="B725" t="s">
        <v>271</v>
      </c>
    </row>
    <row r="726" spans="2:2">
      <c r="B726" t="s">
        <v>545</v>
      </c>
    </row>
    <row r="727" spans="2:2">
      <c r="B727" t="s">
        <v>272</v>
      </c>
    </row>
    <row r="728" spans="2:2">
      <c r="B728" t="s">
        <v>529</v>
      </c>
    </row>
    <row r="729" spans="2:2">
      <c r="B729" t="s">
        <v>530</v>
      </c>
    </row>
    <row r="730" spans="2:2">
      <c r="B730" t="s">
        <v>549</v>
      </c>
    </row>
    <row r="731" spans="2:2">
      <c r="B731" t="s">
        <v>502</v>
      </c>
    </row>
    <row r="732" spans="2:2">
      <c r="B732" t="s">
        <v>257</v>
      </c>
    </row>
    <row r="733" spans="2:2">
      <c r="B733" t="s">
        <v>258</v>
      </c>
    </row>
    <row r="734" spans="2:2">
      <c r="B734" t="s">
        <v>259</v>
      </c>
    </row>
    <row r="735" spans="2:2">
      <c r="B735" t="s">
        <v>260</v>
      </c>
    </row>
    <row r="736" spans="2:2">
      <c r="B736" t="s">
        <v>448</v>
      </c>
    </row>
    <row r="737" spans="2:2">
      <c r="B737" t="s">
        <v>468</v>
      </c>
    </row>
    <row r="738" spans="2:2">
      <c r="B738" t="s">
        <v>551</v>
      </c>
    </row>
    <row r="739" spans="2:2">
      <c r="B739" t="s">
        <v>449</v>
      </c>
    </row>
    <row r="740" spans="2:2">
      <c r="B740" t="s">
        <v>450</v>
      </c>
    </row>
    <row r="741" spans="2:2">
      <c r="B741" t="s">
        <v>265</v>
      </c>
    </row>
    <row r="742" spans="2:2">
      <c r="B742" t="s">
        <v>266</v>
      </c>
    </row>
    <row r="743" spans="2:2">
      <c r="B743" t="s">
        <v>267</v>
      </c>
    </row>
    <row r="744" spans="2:2">
      <c r="B744" t="s">
        <v>268</v>
      </c>
    </row>
    <row r="745" spans="2:2">
      <c r="B745" t="s">
        <v>269</v>
      </c>
    </row>
    <row r="746" spans="2:2">
      <c r="B746" t="s">
        <v>270</v>
      </c>
    </row>
    <row r="747" spans="2:2">
      <c r="B747" t="s">
        <v>271</v>
      </c>
    </row>
    <row r="748" spans="2:2">
      <c r="B748" t="s">
        <v>545</v>
      </c>
    </row>
    <row r="749" spans="2:2">
      <c r="B749" t="s">
        <v>272</v>
      </c>
    </row>
    <row r="750" spans="2:2">
      <c r="B750" t="s">
        <v>531</v>
      </c>
    </row>
    <row r="751" spans="2:2">
      <c r="B751" t="s">
        <v>532</v>
      </c>
    </row>
    <row r="752" spans="2:2">
      <c r="B752" t="s">
        <v>549</v>
      </c>
    </row>
    <row r="753" spans="2:2">
      <c r="B753" t="s">
        <v>453</v>
      </c>
    </row>
    <row r="754" spans="2:2">
      <c r="B754" t="s">
        <v>257</v>
      </c>
    </row>
    <row r="755" spans="2:2">
      <c r="B755" t="s">
        <v>258</v>
      </c>
    </row>
    <row r="756" spans="2:2">
      <c r="B756" t="s">
        <v>259</v>
      </c>
    </row>
    <row r="757" spans="2:2">
      <c r="B757" t="s">
        <v>260</v>
      </c>
    </row>
    <row r="758" spans="2:2">
      <c r="B758" t="s">
        <v>454</v>
      </c>
    </row>
    <row r="759" spans="2:2">
      <c r="B759" t="s">
        <v>455</v>
      </c>
    </row>
    <row r="760" spans="2:2">
      <c r="B760" t="s">
        <v>282</v>
      </c>
    </row>
    <row r="761" spans="2:2">
      <c r="B761" t="s">
        <v>554</v>
      </c>
    </row>
    <row r="762" spans="2:2">
      <c r="B762" t="s">
        <v>457</v>
      </c>
    </row>
    <row r="763" spans="2:2">
      <c r="B763" t="s">
        <v>458</v>
      </c>
    </row>
    <row r="764" spans="2:2">
      <c r="B764" t="s">
        <v>459</v>
      </c>
    </row>
    <row r="765" spans="2:2">
      <c r="B765" t="s">
        <v>267</v>
      </c>
    </row>
    <row r="766" spans="2:2">
      <c r="B766" t="s">
        <v>268</v>
      </c>
    </row>
    <row r="767" spans="2:2">
      <c r="B767" t="s">
        <v>269</v>
      </c>
    </row>
    <row r="768" spans="2:2">
      <c r="B768" t="s">
        <v>270</v>
      </c>
    </row>
    <row r="769" spans="2:2">
      <c r="B769" t="s">
        <v>271</v>
      </c>
    </row>
    <row r="770" spans="2:2">
      <c r="B770" t="s">
        <v>545</v>
      </c>
    </row>
    <row r="771" spans="2:2">
      <c r="B771" t="s">
        <v>272</v>
      </c>
    </row>
    <row r="772" spans="2:2">
      <c r="B772" t="s">
        <v>533</v>
      </c>
    </row>
    <row r="773" spans="2:2">
      <c r="B773" t="s">
        <v>534</v>
      </c>
    </row>
    <row r="774" spans="2:2">
      <c r="B774" t="s">
        <v>549</v>
      </c>
    </row>
    <row r="775" spans="2:2">
      <c r="B775" t="s">
        <v>462</v>
      </c>
    </row>
    <row r="776" spans="2:2">
      <c r="B776" t="s">
        <v>257</v>
      </c>
    </row>
    <row r="777" spans="2:2">
      <c r="B777" t="s">
        <v>258</v>
      </c>
    </row>
    <row r="778" spans="2:2">
      <c r="B778" t="s">
        <v>259</v>
      </c>
    </row>
    <row r="779" spans="2:2">
      <c r="B779" t="s">
        <v>260</v>
      </c>
    </row>
    <row r="780" spans="2:2">
      <c r="B780" t="s">
        <v>448</v>
      </c>
    </row>
    <row r="781" spans="2:2">
      <c r="B781" t="s">
        <v>463</v>
      </c>
    </row>
    <row r="782" spans="2:2">
      <c r="B782" t="s">
        <v>282</v>
      </c>
    </row>
    <row r="783" spans="2:2">
      <c r="B783" t="s">
        <v>465</v>
      </c>
    </row>
    <row r="784" spans="2:2">
      <c r="B784" t="s">
        <v>504</v>
      </c>
    </row>
    <row r="785" spans="2:2">
      <c r="B785" t="s">
        <v>265</v>
      </c>
    </row>
    <row r="786" spans="2:2">
      <c r="B786" t="s">
        <v>266</v>
      </c>
    </row>
    <row r="787" spans="2:2">
      <c r="B787" t="s">
        <v>267</v>
      </c>
    </row>
    <row r="788" spans="2:2">
      <c r="B788" t="s">
        <v>268</v>
      </c>
    </row>
    <row r="789" spans="2:2">
      <c r="B789" t="s">
        <v>269</v>
      </c>
    </row>
    <row r="790" spans="2:2">
      <c r="B790" t="s">
        <v>270</v>
      </c>
    </row>
    <row r="791" spans="2:2">
      <c r="B791" t="s">
        <v>271</v>
      </c>
    </row>
    <row r="792" spans="2:2">
      <c r="B792" t="s">
        <v>545</v>
      </c>
    </row>
    <row r="793" spans="2:2">
      <c r="B793" t="s">
        <v>272</v>
      </c>
    </row>
    <row r="794" spans="2:2">
      <c r="B794" t="s">
        <v>535</v>
      </c>
    </row>
    <row r="795" spans="2:2">
      <c r="B795" t="s">
        <v>536</v>
      </c>
    </row>
    <row r="796" spans="2:2">
      <c r="B796" t="s">
        <v>549</v>
      </c>
    </row>
    <row r="797" spans="2:2">
      <c r="B797" t="s">
        <v>501</v>
      </c>
    </row>
    <row r="798" spans="2:2">
      <c r="B798" t="s">
        <v>257</v>
      </c>
    </row>
    <row r="799" spans="2:2">
      <c r="B799" t="s">
        <v>258</v>
      </c>
    </row>
    <row r="800" spans="2:2">
      <c r="B800" t="s">
        <v>259</v>
      </c>
    </row>
    <row r="801" spans="2:2">
      <c r="B801" t="s">
        <v>260</v>
      </c>
    </row>
    <row r="802" spans="2:2">
      <c r="B802" t="s">
        <v>448</v>
      </c>
    </row>
    <row r="803" spans="2:2">
      <c r="B803" t="s">
        <v>468</v>
      </c>
    </row>
    <row r="804" spans="2:2">
      <c r="B804" t="s">
        <v>551</v>
      </c>
    </row>
    <row r="805" spans="2:2">
      <c r="B805" t="s">
        <v>465</v>
      </c>
    </row>
    <row r="806" spans="2:2">
      <c r="B806" t="s">
        <v>450</v>
      </c>
    </row>
    <row r="807" spans="2:2">
      <c r="B807" t="s">
        <v>265</v>
      </c>
    </row>
    <row r="808" spans="2:2">
      <c r="B808" t="s">
        <v>266</v>
      </c>
    </row>
    <row r="809" spans="2:2">
      <c r="B809" t="s">
        <v>267</v>
      </c>
    </row>
    <row r="810" spans="2:2">
      <c r="B810" t="s">
        <v>268</v>
      </c>
    </row>
    <row r="811" spans="2:2">
      <c r="B811" t="s">
        <v>269</v>
      </c>
    </row>
    <row r="812" spans="2:2">
      <c r="B812" t="s">
        <v>270</v>
      </c>
    </row>
    <row r="813" spans="2:2">
      <c r="B813" t="s">
        <v>271</v>
      </c>
    </row>
    <row r="814" spans="2:2">
      <c r="B814" t="s">
        <v>545</v>
      </c>
    </row>
    <row r="815" spans="2:2">
      <c r="B815" t="s">
        <v>272</v>
      </c>
    </row>
    <row r="816" spans="2:2">
      <c r="B816" t="s">
        <v>537</v>
      </c>
    </row>
    <row r="817" spans="2:2">
      <c r="B817" t="s">
        <v>538</v>
      </c>
    </row>
    <row r="818" spans="2:2">
      <c r="B818" t="s">
        <v>549</v>
      </c>
    </row>
    <row r="819" spans="2:2">
      <c r="B819" t="s">
        <v>471</v>
      </c>
    </row>
    <row r="820" spans="2:2">
      <c r="B820" t="s">
        <v>275</v>
      </c>
    </row>
    <row r="821" spans="2:2">
      <c r="B821" t="s">
        <v>258</v>
      </c>
    </row>
    <row r="822" spans="2:2">
      <c r="B822" t="s">
        <v>259</v>
      </c>
    </row>
    <row r="823" spans="2:2">
      <c r="B823" t="s">
        <v>276</v>
      </c>
    </row>
    <row r="824" spans="2:2">
      <c r="B824" t="s">
        <v>277</v>
      </c>
    </row>
    <row r="825" spans="2:2">
      <c r="B825" t="s">
        <v>472</v>
      </c>
    </row>
    <row r="826" spans="2:2">
      <c r="B826" t="s">
        <v>473</v>
      </c>
    </row>
    <row r="827" spans="2:2">
      <c r="B827" t="s">
        <v>385</v>
      </c>
    </row>
    <row r="828" spans="2:2">
      <c r="B828" t="s">
        <v>278</v>
      </c>
    </row>
    <row r="829" spans="2:2">
      <c r="B829" t="s">
        <v>474</v>
      </c>
    </row>
    <row r="830" spans="2:2">
      <c r="B830" t="s">
        <v>475</v>
      </c>
    </row>
    <row r="831" spans="2:2">
      <c r="B831" t="s">
        <v>267</v>
      </c>
    </row>
    <row r="832" spans="2:2">
      <c r="B832" t="s">
        <v>268</v>
      </c>
    </row>
    <row r="833" spans="2:2">
      <c r="B833" t="s">
        <v>269</v>
      </c>
    </row>
    <row r="834" spans="2:2">
      <c r="B834" t="s">
        <v>270</v>
      </c>
    </row>
    <row r="835" spans="2:2">
      <c r="B835" t="s">
        <v>476</v>
      </c>
    </row>
    <row r="836" spans="2:2">
      <c r="B836" t="s">
        <v>546</v>
      </c>
    </row>
    <row r="837" spans="2:2">
      <c r="B837" t="s">
        <v>272</v>
      </c>
    </row>
    <row r="838" spans="2:2">
      <c r="B838" t="s">
        <v>539</v>
      </c>
    </row>
    <row r="839" spans="2:2">
      <c r="B839" t="s">
        <v>540</v>
      </c>
    </row>
    <row r="840" spans="2:2">
      <c r="B840" t="s">
        <v>549</v>
      </c>
    </row>
    <row r="841" spans="2:2">
      <c r="B841" t="s">
        <v>471</v>
      </c>
    </row>
    <row r="842" spans="2:2">
      <c r="B842" t="s">
        <v>275</v>
      </c>
    </row>
    <row r="843" spans="2:2">
      <c r="B843" t="s">
        <v>258</v>
      </c>
    </row>
    <row r="844" spans="2:2">
      <c r="B844" t="s">
        <v>259</v>
      </c>
    </row>
    <row r="845" spans="2:2">
      <c r="B845" t="s">
        <v>279</v>
      </c>
    </row>
    <row r="846" spans="2:2">
      <c r="B846" t="s">
        <v>280</v>
      </c>
    </row>
    <row r="847" spans="2:2">
      <c r="B847" t="s">
        <v>418</v>
      </c>
    </row>
    <row r="848" spans="2:2">
      <c r="B848" t="s">
        <v>464</v>
      </c>
    </row>
    <row r="849" spans="2:2">
      <c r="B849" t="s">
        <v>283</v>
      </c>
    </row>
    <row r="850" spans="2:2">
      <c r="B850" t="s">
        <v>264</v>
      </c>
    </row>
    <row r="851" spans="2:2">
      <c r="B851" t="s">
        <v>265</v>
      </c>
    </row>
    <row r="852" spans="2:2">
      <c r="B852" t="s">
        <v>266</v>
      </c>
    </row>
    <row r="853" spans="2:2">
      <c r="B853" t="s">
        <v>267</v>
      </c>
    </row>
    <row r="854" spans="2:2">
      <c r="B854" t="s">
        <v>268</v>
      </c>
    </row>
    <row r="855" spans="2:2">
      <c r="B855" t="s">
        <v>269</v>
      </c>
    </row>
    <row r="856" spans="2:2">
      <c r="B856" t="s">
        <v>270</v>
      </c>
    </row>
    <row r="857" spans="2:2">
      <c r="B857" t="s">
        <v>476</v>
      </c>
    </row>
    <row r="858" spans="2:2">
      <c r="B858" t="s">
        <v>546</v>
      </c>
    </row>
    <row r="859" spans="2:2">
      <c r="B859" t="s">
        <v>272</v>
      </c>
    </row>
    <row r="860" spans="2:2">
      <c r="B860" t="s">
        <v>541</v>
      </c>
    </row>
    <row r="861" spans="2:2">
      <c r="B861" t="s">
        <v>542</v>
      </c>
    </row>
    <row r="862" spans="2:2">
      <c r="B862" t="s">
        <v>549</v>
      </c>
    </row>
    <row r="863" spans="2:2">
      <c r="B863" t="s">
        <v>471</v>
      </c>
    </row>
    <row r="864" spans="2:2">
      <c r="B864" t="s">
        <v>275</v>
      </c>
    </row>
    <row r="865" spans="2:2">
      <c r="B865" t="s">
        <v>258</v>
      </c>
    </row>
    <row r="866" spans="2:2">
      <c r="B866" t="s">
        <v>259</v>
      </c>
    </row>
    <row r="867" spans="2:2">
      <c r="B867" t="s">
        <v>436</v>
      </c>
    </row>
    <row r="868" spans="2:2">
      <c r="B868" t="s">
        <v>437</v>
      </c>
    </row>
    <row r="869" spans="2:2">
      <c r="B869" t="s">
        <v>416</v>
      </c>
    </row>
    <row r="870" spans="2:2">
      <c r="B870" t="s">
        <v>262</v>
      </c>
    </row>
    <row r="871" spans="2:2">
      <c r="B871" t="s">
        <v>481</v>
      </c>
    </row>
    <row r="872" spans="2:2">
      <c r="B872" t="s">
        <v>264</v>
      </c>
    </row>
    <row r="873" spans="2:2">
      <c r="B873" t="s">
        <v>265</v>
      </c>
    </row>
    <row r="874" spans="2:2">
      <c r="B874" t="s">
        <v>266</v>
      </c>
    </row>
    <row r="875" spans="2:2">
      <c r="B875" t="s">
        <v>267</v>
      </c>
    </row>
    <row r="876" spans="2:2">
      <c r="B876" t="s">
        <v>268</v>
      </c>
    </row>
    <row r="877" spans="2:2">
      <c r="B877" t="s">
        <v>269</v>
      </c>
    </row>
    <row r="878" spans="2:2">
      <c r="B878" t="s">
        <v>270</v>
      </c>
    </row>
    <row r="879" spans="2:2">
      <c r="B879" t="s">
        <v>476</v>
      </c>
    </row>
    <row r="880" spans="2:2">
      <c r="B880" t="s">
        <v>546</v>
      </c>
    </row>
    <row r="881" spans="2:2">
      <c r="B881" t="s">
        <v>272</v>
      </c>
    </row>
    <row r="882" spans="2:2">
      <c r="B882" t="s">
        <v>543</v>
      </c>
    </row>
    <row r="883" spans="2:2">
      <c r="B883" t="s">
        <v>544</v>
      </c>
    </row>
    <row r="884" spans="2:2">
      <c r="B884" t="s">
        <v>549</v>
      </c>
    </row>
    <row r="885" spans="2:2">
      <c r="B885" t="s">
        <v>471</v>
      </c>
    </row>
    <row r="886" spans="2:2">
      <c r="B886" t="s">
        <v>257</v>
      </c>
    </row>
    <row r="887" spans="2:2">
      <c r="B887" t="s">
        <v>258</v>
      </c>
    </row>
    <row r="888" spans="2:2">
      <c r="B888" t="s">
        <v>259</v>
      </c>
    </row>
    <row r="889" spans="2:2">
      <c r="B889" t="s">
        <v>260</v>
      </c>
    </row>
    <row r="890" spans="2:2">
      <c r="B890" t="s">
        <v>261</v>
      </c>
    </row>
    <row r="891" spans="2:2">
      <c r="B891" t="s">
        <v>388</v>
      </c>
    </row>
    <row r="892" spans="2:2">
      <c r="B892" t="s">
        <v>262</v>
      </c>
    </row>
    <row r="893" spans="2:2">
      <c r="B893" t="s">
        <v>389</v>
      </c>
    </row>
    <row r="894" spans="2:2">
      <c r="B894" t="s">
        <v>264</v>
      </c>
    </row>
    <row r="895" spans="2:2">
      <c r="B895" t="s">
        <v>265</v>
      </c>
    </row>
    <row r="896" spans="2:2">
      <c r="B896" t="s">
        <v>266</v>
      </c>
    </row>
    <row r="897" spans="2:2">
      <c r="B897" t="s">
        <v>267</v>
      </c>
    </row>
    <row r="898" spans="2:2">
      <c r="B898" t="s">
        <v>268</v>
      </c>
    </row>
    <row r="899" spans="2:2">
      <c r="B899" t="s">
        <v>269</v>
      </c>
    </row>
    <row r="900" spans="2:2">
      <c r="B900" t="s">
        <v>270</v>
      </c>
    </row>
    <row r="901" spans="2:2">
      <c r="B901" t="s">
        <v>271</v>
      </c>
    </row>
    <row r="902" spans="2:2">
      <c r="B902" t="s">
        <v>545</v>
      </c>
    </row>
    <row r="903" spans="2:2">
      <c r="B903" t="s">
        <v>272</v>
      </c>
    </row>
    <row r="904" spans="2:2">
      <c r="B904" t="s">
        <v>556</v>
      </c>
    </row>
    <row r="905" spans="2:2">
      <c r="B905" t="s">
        <v>557</v>
      </c>
    </row>
    <row r="906" spans="2:2">
      <c r="B906" t="s">
        <v>549</v>
      </c>
    </row>
    <row r="907" spans="2:2">
      <c r="B907" t="s">
        <v>471</v>
      </c>
    </row>
    <row r="908" spans="2:2">
      <c r="B908" t="s">
        <v>257</v>
      </c>
    </row>
    <row r="909" spans="2:2">
      <c r="B909" t="s">
        <v>258</v>
      </c>
    </row>
    <row r="910" spans="2:2">
      <c r="B910" t="s">
        <v>259</v>
      </c>
    </row>
    <row r="911" spans="2:2">
      <c r="B911" t="s">
        <v>260</v>
      </c>
    </row>
    <row r="912" spans="2:2">
      <c r="B912" t="s">
        <v>420</v>
      </c>
    </row>
    <row r="913" spans="2:2">
      <c r="B913" t="s">
        <v>486</v>
      </c>
    </row>
    <row r="914" spans="2:2">
      <c r="B914" t="s">
        <v>262</v>
      </c>
    </row>
    <row r="915" spans="2:2">
      <c r="B915" t="s">
        <v>487</v>
      </c>
    </row>
    <row r="916" spans="2:2">
      <c r="B916" t="s">
        <v>423</v>
      </c>
    </row>
    <row r="917" spans="2:2">
      <c r="B917" t="s">
        <v>488</v>
      </c>
    </row>
    <row r="918" spans="2:2">
      <c r="B918" t="s">
        <v>425</v>
      </c>
    </row>
    <row r="919" spans="2:2">
      <c r="B919" t="s">
        <v>426</v>
      </c>
    </row>
    <row r="920" spans="2:2">
      <c r="B920" t="s">
        <v>427</v>
      </c>
    </row>
    <row r="921" spans="2:2">
      <c r="B921" t="s">
        <v>269</v>
      </c>
    </row>
    <row r="922" spans="2:2">
      <c r="B922" t="s">
        <v>270</v>
      </c>
    </row>
    <row r="923" spans="2:2">
      <c r="B923" t="s">
        <v>271</v>
      </c>
    </row>
    <row r="924" spans="2:2">
      <c r="B924" t="s">
        <v>545</v>
      </c>
    </row>
    <row r="925" spans="2:2">
      <c r="B925" t="s">
        <v>550</v>
      </c>
    </row>
    <row r="926" spans="2:2">
      <c r="B926" t="s">
        <v>293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2016-08-13T13:43:43Z</dcterms:modified>
</cp:coreProperties>
</file>
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 activeTab="2"/>
  </bookViews>
  <sheets>
    <sheet name="D_技能效果表" sheetId="3" r:id="rId1"/>
    <sheet name="定义" sheetId="5" r:id="rId2"/>
    <sheet name="API说明" sheetId="7" r:id="rId3"/>
    <sheet name="框选定义匹配" sheetId="9" r:id="rId4"/>
    <sheet name="Sheet2" sheetId="8" r:id="rId5"/>
    <sheet name="条件列表(待定)" sheetId="10" r:id="rId6"/>
    <sheet name="说明(作废)" sheetId="4" r:id="rId7"/>
    <sheet name="生成的json" sheetId="11" r:id="rId8"/>
  </sheets>
  <definedNames>
    <definedName name="_xlnm._FilterDatabase" localSheetId="2" hidden="1">API说明!$A$1:$A$42</definedName>
    <definedName name="_xlnm._FilterDatabase" localSheetId="0" hidden="1">D_技能效果表!$A$1:$V$49</definedName>
    <definedName name="_xlnm._FilterDatabase" localSheetId="6" hidden="1">'说明(作废)'!$C$2:$C$32</definedName>
  </definedNames>
  <calcPr calcId="152511"/>
</workbook>
</file>

<file path=xl/calcChain.xml><?xml version="1.0" encoding="utf-8"?>
<calcChain xmlns="http://schemas.openxmlformats.org/spreadsheetml/2006/main">
  <c r="I52" i="3" l="1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E19" i="5" l="1"/>
  <c r="A22" i="3" l="1"/>
  <c r="A45" i="3"/>
  <c r="A38" i="3"/>
  <c r="A28" i="3"/>
  <c r="A18" i="3"/>
  <c r="A46" i="3" l="1"/>
  <c r="A51" i="3"/>
  <c r="A48" i="3"/>
  <c r="A47" i="3"/>
  <c r="A41" i="3"/>
  <c r="A40" i="3" l="1"/>
  <c r="A31" i="3" l="1"/>
  <c r="A32" i="3"/>
  <c r="A30" i="3"/>
  <c r="A10" i="3"/>
  <c r="A44" i="3" l="1"/>
  <c r="A13" i="3"/>
  <c r="A25" i="3"/>
  <c r="A39" i="3"/>
  <c r="A29" i="3"/>
  <c r="A52" i="3" l="1"/>
  <c r="A8" i="3"/>
  <c r="A7" i="3"/>
  <c r="A15" i="3" l="1"/>
  <c r="A5" i="3"/>
  <c r="A6" i="3"/>
  <c r="A23" i="3" l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2" i="5"/>
  <c r="A9" i="3" l="1"/>
  <c r="A26" i="3"/>
  <c r="A19" i="3"/>
  <c r="A24" i="3"/>
  <c r="A36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X轴位移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Z位移(int)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特效文件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特效时间
无效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特效旋转随机角度
最小|最大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特效随机缩放
最小|最大</t>
        </r>
      </text>
    </comment>
    <comment ref="O14" authorId="1" shapeId="0">
      <text>
        <r>
          <rPr>
            <sz val="9"/>
            <color indexed="81"/>
            <rFont val="宋体"/>
            <family val="3"/>
            <charset val="134"/>
          </rPr>
          <t>特效偏移
X轴|Y轴|Z轴
0|80|0</t>
        </r>
      </text>
    </comment>
    <comment ref="P14" authorId="1" shapeId="0">
      <text>
        <r>
          <rPr>
            <sz val="9"/>
            <color indexed="81"/>
            <rFont val="宋体"/>
            <family val="3"/>
            <charset val="134"/>
          </rPr>
          <t>是否跟随
0不跟随
1跟随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
6.跳到下个招式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硬值时间(float)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站立受击动作ID
1则为hurt1
2则为hurt2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8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18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8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9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0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21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2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22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受击动作名称</t>
        </r>
      </text>
    </comment>
    <comment ref="H23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24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5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5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6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
6.跳到下个招式</t>
        </r>
      </text>
    </comment>
    <comment ref="N26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8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28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28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29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0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3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1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2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3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34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34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35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3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5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36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36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36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
6.跳到下个招式</t>
        </r>
      </text>
    </comment>
    <comment ref="N36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3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8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38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38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39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3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0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4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41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4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4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4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4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4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42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42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42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43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4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44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4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44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4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45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45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45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46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4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7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4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48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4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4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4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4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4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49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49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49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50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5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51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5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52" authorId="1" shapeId="0">
      <text>
        <r>
          <rPr>
            <sz val="9"/>
            <color indexed="81"/>
            <rFont val="宋体"/>
            <family val="3"/>
            <charset val="134"/>
          </rPr>
          <t>倒地L
浮空F
站立T
死亡D
霸体B
敌方E
友方M
自己S
P主人或宠物
全体A</t>
        </r>
      </text>
    </comment>
    <comment ref="K52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52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52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
6.跳到下个招式</t>
        </r>
      </text>
    </comment>
    <comment ref="N52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</commentList>
</comments>
</file>

<file path=xl/sharedStrings.xml><?xml version="1.0" encoding="utf-8"?>
<sst xmlns="http://schemas.openxmlformats.org/spreadsheetml/2006/main" count="1690" uniqueCount="797">
  <si>
    <t>效果ID</t>
    <phoneticPr fontId="4" type="noConversion"/>
  </si>
  <si>
    <t>动作ID</t>
    <phoneticPr fontId="4" type="noConversion"/>
  </si>
  <si>
    <t>动作时长</t>
    <phoneticPr fontId="4" type="noConversion"/>
  </si>
  <si>
    <t>消耗魔法值</t>
    <phoneticPr fontId="4" type="noConversion"/>
  </si>
  <si>
    <t>消耗气血值</t>
    <phoneticPr fontId="4" type="noConversion"/>
  </si>
  <si>
    <t>移动施展</t>
    <phoneticPr fontId="4" type="noConversion"/>
  </si>
  <si>
    <t>默认目标硬直</t>
    <phoneticPr fontId="4" type="noConversion"/>
  </si>
  <si>
    <t>默认目标特效</t>
    <phoneticPr fontId="4" type="noConversion"/>
  </si>
  <si>
    <t>默认震屏</t>
    <phoneticPr fontId="4" type="noConversion"/>
  </si>
  <si>
    <t>起手时间</t>
    <phoneticPr fontId="4" type="noConversion"/>
  </si>
  <si>
    <t>招式ID</t>
    <phoneticPr fontId="2" type="noConversion"/>
  </si>
  <si>
    <t>ID</t>
    <phoneticPr fontId="4" type="noConversion"/>
  </si>
  <si>
    <t>id</t>
    <phoneticPr fontId="4" type="noConversion"/>
  </si>
  <si>
    <t>actName</t>
    <phoneticPr fontId="4" type="noConversion"/>
  </si>
  <si>
    <t>actTime</t>
    <phoneticPr fontId="4" type="noConversion"/>
  </si>
  <si>
    <t>cmp</t>
    <phoneticPr fontId="4" type="noConversion"/>
  </si>
  <si>
    <t>chp</t>
    <phoneticPr fontId="4" type="noConversion"/>
  </si>
  <si>
    <t>canmove</t>
    <phoneticPr fontId="4" type="noConversion"/>
  </si>
  <si>
    <t>dtarget</t>
    <phoneticPr fontId="4" type="noConversion"/>
  </si>
  <si>
    <t>deffect</t>
    <phoneticPr fontId="4" type="noConversion"/>
  </si>
  <si>
    <t>isShock</t>
    <phoneticPr fontId="4" type="noConversion"/>
  </si>
  <si>
    <t>时间点</t>
    <phoneticPr fontId="2" type="noConversion"/>
  </si>
  <si>
    <t>范围：Z1</t>
    <phoneticPr fontId="2" type="noConversion"/>
  </si>
  <si>
    <t>指令ID</t>
    <phoneticPr fontId="4" type="noConversion"/>
  </si>
  <si>
    <t>指令参数1</t>
    <phoneticPr fontId="4" type="noConversion"/>
  </si>
  <si>
    <t>指令参数2</t>
    <phoneticPr fontId="4" type="noConversion"/>
  </si>
  <si>
    <t>指令参数3</t>
    <phoneticPr fontId="4" type="noConversion"/>
  </si>
  <si>
    <t>指令参数4</t>
    <phoneticPr fontId="4" type="noConversion"/>
  </si>
  <si>
    <t>重复次数</t>
    <phoneticPr fontId="4" type="noConversion"/>
  </si>
  <si>
    <t>间隔时间</t>
    <phoneticPr fontId="4" type="noConversion"/>
  </si>
  <si>
    <t>筛选目标</t>
    <phoneticPr fontId="4" type="noConversion"/>
  </si>
  <si>
    <t>范围：X1</t>
    <phoneticPr fontId="4" type="noConversion"/>
  </si>
  <si>
    <t>范围：X2</t>
    <phoneticPr fontId="4" type="noConversion"/>
  </si>
  <si>
    <t>范围：Y1</t>
    <phoneticPr fontId="4" type="noConversion"/>
  </si>
  <si>
    <t>范围：Y2</t>
    <phoneticPr fontId="4" type="noConversion"/>
  </si>
  <si>
    <t>范围：Z2</t>
    <phoneticPr fontId="4" type="noConversion"/>
  </si>
  <si>
    <t>管理号</t>
    <phoneticPr fontId="4" type="noConversion"/>
  </si>
  <si>
    <t>effectId</t>
    <phoneticPr fontId="4" type="noConversion"/>
  </si>
  <si>
    <t>startTime</t>
    <phoneticPr fontId="2" type="noConversion"/>
  </si>
  <si>
    <t>技能指令</t>
    <phoneticPr fontId="4" type="noConversion"/>
  </si>
  <si>
    <t>需求说明</t>
    <phoneticPr fontId="4" type="noConversion"/>
  </si>
  <si>
    <t>参数1</t>
    <phoneticPr fontId="2" type="noConversion"/>
  </si>
  <si>
    <t>参数3</t>
  </si>
  <si>
    <t>参数4</t>
  </si>
  <si>
    <t>参数5</t>
  </si>
  <si>
    <t>参数6</t>
  </si>
  <si>
    <t>参数7</t>
    <phoneticPr fontId="2" type="noConversion"/>
  </si>
  <si>
    <t>可筛选目标</t>
    <phoneticPr fontId="2" type="noConversion"/>
  </si>
  <si>
    <t>伤害</t>
    <phoneticPr fontId="2" type="noConversion"/>
  </si>
  <si>
    <t>当对目标产生伤害时，自身动作停顿相应时间，同时技能停止相应时间</t>
    <phoneticPr fontId="2" type="noConversion"/>
  </si>
  <si>
    <t>修改目标的默认受击动作，即后续受到伤害都使用该动作</t>
    <phoneticPr fontId="2" type="noConversion"/>
  </si>
  <si>
    <t>对目标产生相应的硬直</t>
    <phoneticPr fontId="2" type="noConversion"/>
  </si>
  <si>
    <t>目标动作停顿相应时间</t>
    <phoneticPr fontId="2" type="noConversion"/>
  </si>
  <si>
    <t>在一定时间内令目标移动相应的X轴和Z轴位移
移动过程目标处于硬直状态</t>
    <phoneticPr fontId="2" type="noConversion"/>
  </si>
  <si>
    <t>到达最高点时间
秒为单位</t>
    <phoneticPr fontId="2" type="noConversion"/>
  </si>
  <si>
    <t>续飞</t>
    <phoneticPr fontId="2" type="noConversion"/>
  </si>
  <si>
    <t>在一定时间内将目标打飞一定高度，同时造成相应的X轴和Z轴位移
在
仅对浮空和跳跃状态的目标有效</t>
    <phoneticPr fontId="2" type="noConversion"/>
  </si>
  <si>
    <t>待定</t>
    <phoneticPr fontId="2" type="noConversion"/>
  </si>
  <si>
    <t>自身移动一定距离</t>
    <phoneticPr fontId="2" type="noConversion"/>
  </si>
  <si>
    <t>锁定当前目标的位置，在一段时间内移动到该位置</t>
    <phoneticPr fontId="2" type="noConversion"/>
  </si>
  <si>
    <t>在范围内随机位置，播放模型自身的特效，或者公共特效库中的特效</t>
    <phoneticPr fontId="2" type="noConversion"/>
  </si>
  <si>
    <r>
      <t>播放声音文件内的某个声音资源
参数：</t>
    </r>
    <r>
      <rPr>
        <b/>
        <sz val="11"/>
        <color theme="1"/>
        <rFont val="宋体"/>
        <family val="3"/>
        <charset val="134"/>
        <scheme val="minor"/>
      </rPr>
      <t>声音文件名</t>
    </r>
    <phoneticPr fontId="2" type="noConversion"/>
  </si>
  <si>
    <t>在该指令生效后，在监听时间内进行持续监听，在监听类型触发时，执行相应的指令。可同时进行多个监听。</t>
    <phoneticPr fontId="2" type="noConversion"/>
  </si>
  <si>
    <t>回复血量=回血值+自身血量上限*百分比
需要显示回血上飘数值</t>
    <phoneticPr fontId="2" type="noConversion"/>
  </si>
  <si>
    <t>回复蓝量=回蓝值+自身蓝量上限*百分比
需要显示回蓝上飘数值</t>
    <phoneticPr fontId="2" type="noConversion"/>
  </si>
  <si>
    <t>场景变色
待定</t>
    <phoneticPr fontId="2" type="noConversion"/>
  </si>
  <si>
    <t>在目标身上位置显示吟唱进度条。技能中断时进度条淡化消失。</t>
    <phoneticPr fontId="2" type="noConversion"/>
  </si>
  <si>
    <t>用于怪物AI，怪物移动到该范围内时才可使用该技能。
如果没有配置，则按所有伤害指令中范围最大的</t>
    <phoneticPr fontId="2" type="noConversion"/>
  </si>
  <si>
    <t>直接扣除自身的生命</t>
    <phoneticPr fontId="2" type="noConversion"/>
  </si>
  <si>
    <t>指令ID</t>
    <phoneticPr fontId="2" type="noConversion"/>
  </si>
  <si>
    <t>续飞</t>
    <phoneticPr fontId="2" type="noConversion"/>
  </si>
  <si>
    <t>击倒</t>
    <phoneticPr fontId="2" type="noConversion"/>
  </si>
  <si>
    <t>自身移动</t>
    <phoneticPr fontId="2" type="noConversion"/>
  </si>
  <si>
    <t>锁定目标移动</t>
    <phoneticPr fontId="2" type="noConversion"/>
  </si>
  <si>
    <t>加BUFF</t>
    <phoneticPr fontId="2" type="noConversion"/>
  </si>
  <si>
    <t>播放特效</t>
    <phoneticPr fontId="2" type="noConversion"/>
  </si>
  <si>
    <t>震屏</t>
    <phoneticPr fontId="2" type="noConversion"/>
  </si>
  <si>
    <t>声音</t>
    <phoneticPr fontId="2" type="noConversion"/>
  </si>
  <si>
    <t>技能监听</t>
    <phoneticPr fontId="2" type="noConversion"/>
  </si>
  <si>
    <t>召唤怪物</t>
    <phoneticPr fontId="2" type="noConversion"/>
  </si>
  <si>
    <t>回血</t>
    <phoneticPr fontId="2" type="noConversion"/>
  </si>
  <si>
    <t>回蓝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</si>
  <si>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</si>
  <si>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</si>
  <si>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</si>
  <si>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</si>
  <si>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</si>
  <si>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</si>
  <si>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</si>
  <si>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</si>
  <si>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t>跳跃</t>
    <phoneticPr fontId="2" type="noConversion"/>
  </si>
  <si>
    <t>args1</t>
    <phoneticPr fontId="2" type="noConversion"/>
  </si>
  <si>
    <t>args2</t>
    <phoneticPr fontId="2" type="noConversion"/>
  </si>
  <si>
    <t>args3</t>
    <phoneticPr fontId="2" type="noConversion"/>
  </si>
  <si>
    <t>args4</t>
    <phoneticPr fontId="2" type="noConversion"/>
  </si>
  <si>
    <t>maxX</t>
    <phoneticPr fontId="2" type="noConversion"/>
  </si>
  <si>
    <t>minX</t>
    <phoneticPr fontId="2" type="noConversion"/>
  </si>
  <si>
    <t>minY</t>
    <phoneticPr fontId="2" type="noConversion"/>
  </si>
  <si>
    <t>maxY</t>
    <phoneticPr fontId="2" type="noConversion"/>
  </si>
  <si>
    <t>minZ</t>
    <phoneticPr fontId="2" type="noConversion"/>
  </si>
  <si>
    <t>maxZ</t>
    <phoneticPr fontId="2" type="noConversion"/>
  </si>
  <si>
    <t>mangerId</t>
    <phoneticPr fontId="2" type="noConversion"/>
  </si>
  <si>
    <t>repeatTimes</t>
    <phoneticPr fontId="2" type="noConversion"/>
  </si>
  <si>
    <t>noSupperTime</t>
    <phoneticPr fontId="4" type="noConversion"/>
  </si>
  <si>
    <t>Id</t>
    <phoneticPr fontId="2" type="noConversion"/>
  </si>
  <si>
    <t>intervalTime</t>
  </si>
  <si>
    <t>cmdType</t>
    <phoneticPr fontId="2" type="noConversion"/>
  </si>
  <si>
    <t>指令参数5</t>
    <phoneticPr fontId="2" type="noConversion"/>
  </si>
  <si>
    <t>指令参数6</t>
    <phoneticPr fontId="2" type="noConversion"/>
  </si>
  <si>
    <t>指令参数7</t>
    <phoneticPr fontId="2" type="noConversion"/>
  </si>
  <si>
    <t>args5</t>
  </si>
  <si>
    <t>args6</t>
  </si>
  <si>
    <t>args7</t>
  </si>
  <si>
    <t>指令参数8</t>
  </si>
  <si>
    <t>指令参数9</t>
  </si>
  <si>
    <t>指令参数10</t>
  </si>
  <si>
    <t>args8</t>
  </si>
  <si>
    <t>args9</t>
  </si>
  <si>
    <t>args10</t>
  </si>
  <si>
    <t>优先级</t>
    <phoneticPr fontId="4" type="noConversion"/>
  </si>
  <si>
    <t>参数2</t>
    <phoneticPr fontId="2" type="noConversion"/>
  </si>
  <si>
    <t>需要范围参数</t>
    <phoneticPr fontId="2" type="noConversion"/>
  </si>
  <si>
    <t>是</t>
    <phoneticPr fontId="2" type="noConversion"/>
  </si>
  <si>
    <t>自身停顿</t>
    <phoneticPr fontId="2" type="noConversion"/>
  </si>
  <si>
    <t>停顿时间
秒为单位</t>
    <phoneticPr fontId="2" type="noConversion"/>
  </si>
  <si>
    <r>
      <t>命中目标</t>
    </r>
    <r>
      <rPr>
        <sz val="11"/>
        <color rgb="FFFF0000"/>
        <rFont val="宋体"/>
        <family val="3"/>
        <charset val="134"/>
        <scheme val="minor"/>
      </rPr>
      <t xml:space="preserve">
1不需要
0需要</t>
    </r>
    <phoneticPr fontId="2" type="noConversion"/>
  </si>
  <si>
    <t>目标受击特效</t>
    <phoneticPr fontId="2" type="noConversion"/>
  </si>
  <si>
    <t>当对目标产生伤害时，目标身上产生受击特效</t>
    <phoneticPr fontId="2" type="noConversion"/>
  </si>
  <si>
    <t>特效ID</t>
    <phoneticPr fontId="2" type="noConversion"/>
  </si>
  <si>
    <t>特效时间
秒为单位</t>
    <phoneticPr fontId="2" type="noConversion"/>
  </si>
  <si>
    <t>特效旋转角度</t>
    <phoneticPr fontId="2" type="noConversion"/>
  </si>
  <si>
    <r>
      <t>特效缩放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</si>
  <si>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</t>
    </r>
    <phoneticPr fontId="2" type="noConversion"/>
  </si>
  <si>
    <t>受击动作</t>
    <phoneticPr fontId="2" type="noConversion"/>
  </si>
  <si>
    <t>站立受击动作ID</t>
    <phoneticPr fontId="2" type="noConversion"/>
  </si>
  <si>
    <t>动作时间
秒为单位</t>
    <phoneticPr fontId="2" type="noConversion"/>
  </si>
  <si>
    <t>浮空受击动作ID</t>
    <phoneticPr fontId="2" type="noConversion"/>
  </si>
  <si>
    <t>目标硬直</t>
    <phoneticPr fontId="2" type="noConversion"/>
  </si>
  <si>
    <t>硬直时间
秒为单位</t>
    <phoneticPr fontId="2" type="noConversion"/>
  </si>
  <si>
    <t>目标停顿</t>
    <phoneticPr fontId="2" type="noConversion"/>
  </si>
  <si>
    <t>目标移动</t>
    <phoneticPr fontId="2" type="noConversion"/>
  </si>
  <si>
    <t>移动过程时间
秒为单位</t>
    <phoneticPr fontId="2" type="noConversion"/>
  </si>
  <si>
    <t>打飞</t>
    <phoneticPr fontId="2" type="noConversion"/>
  </si>
  <si>
    <t>到达最高点时间
秒为单位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</si>
  <si>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</si>
  <si>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t>最大高度限制
参数作用同上</t>
    <phoneticPr fontId="2" type="noConversion"/>
  </si>
  <si>
    <t>是</t>
    <phoneticPr fontId="2" type="noConversion"/>
  </si>
  <si>
    <t>击倒</t>
    <phoneticPr fontId="2" type="noConversion"/>
  </si>
  <si>
    <t>倒地时间</t>
    <phoneticPr fontId="2" type="noConversion"/>
  </si>
  <si>
    <t>自身移动</t>
    <phoneticPr fontId="2" type="noConversion"/>
  </si>
  <si>
    <t>锁定目标移动</t>
    <phoneticPr fontId="2" type="noConversion"/>
  </si>
  <si>
    <t>加BUFF</t>
    <phoneticPr fontId="2" type="noConversion"/>
  </si>
  <si>
    <t>BUFF id</t>
    <phoneticPr fontId="2" type="noConversion"/>
  </si>
  <si>
    <t>附加概率</t>
    <phoneticPr fontId="2" type="noConversion"/>
  </si>
  <si>
    <t>持续时间
秒为单位</t>
    <phoneticPr fontId="2" type="noConversion"/>
  </si>
  <si>
    <t>播放特效</t>
    <phoneticPr fontId="2" type="noConversion"/>
  </si>
  <si>
    <t>特效缩放百分比</t>
    <phoneticPr fontId="2" type="noConversion"/>
  </si>
  <si>
    <t>子弹(物件)</t>
    <phoneticPr fontId="2" type="noConversion"/>
  </si>
  <si>
    <t>震屏</t>
    <phoneticPr fontId="2" type="noConversion"/>
  </si>
  <si>
    <t>振幅</t>
    <phoneticPr fontId="2" type="noConversion"/>
  </si>
  <si>
    <r>
      <t xml:space="preserve">频率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</si>
  <si>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</si>
  <si>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0一起震动
1不一起震动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</si>
  <si>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</si>
  <si>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t>声音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</si>
  <si>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</si>
  <si>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1.点击技能按钮
2.持续按住松开后(蓄力)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</si>
  <si>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
4.进入技能CD</t>
    </r>
    <phoneticPr fontId="2" type="noConversion"/>
  </si>
  <si>
    <r>
      <t xml:space="preserve">监听时长
秒为单位
</t>
    </r>
    <r>
      <rPr>
        <sz val="11"/>
        <color rgb="FFFF0000"/>
        <rFont val="宋体"/>
        <family val="3"/>
        <charset val="134"/>
        <scheme val="minor"/>
      </rPr>
      <t>0则为招式结束时结束监听</t>
    </r>
    <phoneticPr fontId="2" type="noConversion"/>
  </si>
  <si>
    <t>召唤怪物</t>
    <phoneticPr fontId="2" type="noConversion"/>
  </si>
  <si>
    <t>怪物ID</t>
    <phoneticPr fontId="2" type="noConversion"/>
  </si>
  <si>
    <t>数量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</si>
  <si>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</si>
  <si>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</t>
    <phoneticPr fontId="2" type="noConversion"/>
  </si>
  <si>
    <t>跟随范围
(暂时不做)</t>
    <phoneticPr fontId="2" type="noConversion"/>
  </si>
  <si>
    <t>回血</t>
    <phoneticPr fontId="2" type="noConversion"/>
  </si>
  <si>
    <t>回血值</t>
    <phoneticPr fontId="2" type="noConversion"/>
  </si>
  <si>
    <t>血量百分比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</si>
  <si>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</si>
  <si>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</si>
  <si>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</si>
  <si>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</si>
  <si>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</si>
  <si>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</si>
  <si>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</si>
  <si>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r>
      <t xml:space="preserve">
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</si>
  <si>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AI释放技能范围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</si>
  <si>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</si>
  <si>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</si>
  <si>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</si>
  <si>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</si>
  <si>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</si>
  <si>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</si>
  <si>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</si>
  <si>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</si>
  <si>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</si>
  <si>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</si>
  <si>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跳跃</t>
    <phoneticPr fontId="2" type="noConversion"/>
  </si>
  <si>
    <t>伤害数值</t>
    <phoneticPr fontId="2" type="noConversion"/>
  </si>
  <si>
    <t>伤害百分比</t>
    <phoneticPr fontId="2" type="noConversion"/>
  </si>
  <si>
    <t>对目标造成伤害，并且执行默认的目标硬直和目标特效，在目标身上飘出伤害数值，并且目标播放受击动作</t>
    <phoneticPr fontId="2" type="noConversion"/>
  </si>
  <si>
    <t>在一定时间内将目标打飞一定高度，同时造成相应的X轴和Z轴位移
在</t>
    <phoneticPr fontId="2" type="noConversion"/>
  </si>
  <si>
    <t>在某个范围内随机位置召唤怪物</t>
    <phoneticPr fontId="2" type="noConversion"/>
  </si>
  <si>
    <t>待定</t>
    <phoneticPr fontId="2" type="noConversion"/>
  </si>
  <si>
    <t>复活范围内的怪物，只有死亡后尸体未消失的可复活</t>
    <phoneticPr fontId="2" type="noConversion"/>
  </si>
  <si>
    <t>检测条件是否符合，符合则执行相应的指令</t>
    <phoneticPr fontId="2" type="noConversion"/>
  </si>
  <si>
    <t>st</t>
    <phoneticPr fontId="2" type="noConversion"/>
  </si>
  <si>
    <t>表现</t>
    <phoneticPr fontId="2" type="noConversion"/>
  </si>
  <si>
    <t>数据</t>
    <phoneticPr fontId="2" type="noConversion"/>
  </si>
  <si>
    <t>int</t>
    <phoneticPr fontId="4" type="noConversion"/>
  </si>
  <si>
    <t>str</t>
    <phoneticPr fontId="4" type="noConversion"/>
  </si>
  <si>
    <t>float</t>
    <phoneticPr fontId="4" type="noConversion"/>
  </si>
  <si>
    <t>指令ID</t>
    <phoneticPr fontId="4" type="noConversion"/>
  </si>
  <si>
    <t>指令名称</t>
    <phoneticPr fontId="4" type="noConversion"/>
  </si>
  <si>
    <t>指令参数5</t>
    <phoneticPr fontId="4" type="noConversion"/>
  </si>
  <si>
    <t>指令参数7</t>
    <phoneticPr fontId="4" type="noConversion"/>
  </si>
  <si>
    <t>指令参数8</t>
    <phoneticPr fontId="4" type="noConversion"/>
  </si>
  <si>
    <t>指令参数9</t>
    <phoneticPr fontId="4" type="noConversion"/>
  </si>
  <si>
    <t>指令参数10</t>
    <phoneticPr fontId="4" type="noConversion"/>
  </si>
  <si>
    <t>管理号</t>
    <phoneticPr fontId="4" type="noConversion"/>
  </si>
  <si>
    <t>Id</t>
    <phoneticPr fontId="4" type="noConversion"/>
  </si>
  <si>
    <t>startTime</t>
    <phoneticPr fontId="4" type="noConversion"/>
  </si>
  <si>
    <t>args2</t>
    <phoneticPr fontId="4" type="noConversion"/>
  </si>
  <si>
    <t>args3</t>
    <phoneticPr fontId="4" type="noConversion"/>
  </si>
  <si>
    <t>args4</t>
    <phoneticPr fontId="4" type="noConversion"/>
  </si>
  <si>
    <t>args5</t>
    <phoneticPr fontId="4" type="noConversion"/>
  </si>
  <si>
    <t>args6</t>
    <phoneticPr fontId="4" type="noConversion"/>
  </si>
  <si>
    <t>args7</t>
    <phoneticPr fontId="4" type="noConversion"/>
  </si>
  <si>
    <t>args8</t>
    <phoneticPr fontId="4" type="noConversion"/>
  </si>
  <si>
    <t>args9</t>
    <phoneticPr fontId="4" type="noConversion"/>
  </si>
  <si>
    <t>args10</t>
    <phoneticPr fontId="4" type="noConversion"/>
  </si>
  <si>
    <t>效果id</t>
    <phoneticPr fontId="4" type="noConversion"/>
  </si>
  <si>
    <t>指令ID</t>
    <phoneticPr fontId="2" type="noConversion"/>
  </si>
  <si>
    <t>float</t>
    <phoneticPr fontId="4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</si>
  <si>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</si>
  <si>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</si>
  <si>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</si>
  <si>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</si>
  <si>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</si>
  <si>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</si>
  <si>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</si>
  <si>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</si>
  <si>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参数9</t>
    <phoneticPr fontId="2" type="noConversion"/>
  </si>
  <si>
    <t>参数10</t>
    <phoneticPr fontId="2" type="noConversion"/>
  </si>
  <si>
    <t>伤害百分比(float)</t>
    <phoneticPr fontId="2" type="noConversion"/>
  </si>
  <si>
    <t>停顿时间(float)</t>
    <phoneticPr fontId="2" type="noConversion"/>
  </si>
  <si>
    <t>受击动作名称</t>
    <phoneticPr fontId="2" type="noConversion"/>
  </si>
  <si>
    <t>倒地时间(float)</t>
    <phoneticPr fontId="2" type="noConversion"/>
  </si>
  <si>
    <t>移动总时间(float)</t>
    <phoneticPr fontId="2" type="noConversion"/>
  </si>
  <si>
    <t>最大高度限制(int)</t>
    <phoneticPr fontId="2" type="noConversion"/>
  </si>
  <si>
    <t>bufId(int)</t>
    <phoneticPr fontId="2" type="noConversion"/>
  </si>
  <si>
    <t>持续时间(float)</t>
    <phoneticPr fontId="2" type="noConversion"/>
  </si>
  <si>
    <t>怪物ID(int)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</si>
  <si>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</si>
  <si>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</si>
  <si>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</si>
  <si>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int</t>
    <phoneticPr fontId="4" type="noConversion"/>
  </si>
  <si>
    <t>数据定位使用</t>
    <phoneticPr fontId="4" type="noConversion"/>
  </si>
  <si>
    <t>招式ID</t>
    <phoneticPr fontId="4" type="noConversion"/>
  </si>
  <si>
    <t>actId</t>
    <phoneticPr fontId="4" type="noConversion"/>
  </si>
  <si>
    <t>args1</t>
    <phoneticPr fontId="4" type="noConversion"/>
  </si>
  <si>
    <t>cmdType</t>
    <phoneticPr fontId="4" type="noConversion"/>
  </si>
  <si>
    <t>每次重复的间隔时间
秒为单位</t>
    <phoneticPr fontId="2" type="noConversion"/>
  </si>
  <si>
    <t>打飞</t>
    <phoneticPr fontId="2" type="noConversion"/>
  </si>
  <si>
    <t>intervalTime</t>
    <phoneticPr fontId="4" type="noConversion"/>
  </si>
  <si>
    <t>repeatTimes</t>
    <phoneticPr fontId="4" type="noConversion"/>
  </si>
  <si>
    <t>一个招式里，管理号相同的相同指令对同个目标只生效1次
为0则无管理号限制</t>
    <phoneticPr fontId="2" type="noConversion"/>
  </si>
  <si>
    <t>自身移动</t>
  </si>
  <si>
    <t>产生</t>
    <phoneticPr fontId="2" type="noConversion"/>
  </si>
  <si>
    <t>引用</t>
    <phoneticPr fontId="2" type="noConversion"/>
  </si>
  <si>
    <t>时间点</t>
    <phoneticPr fontId="2" type="noConversion"/>
  </si>
  <si>
    <t>碰撞结果</t>
    <phoneticPr fontId="2" type="noConversion"/>
  </si>
  <si>
    <t>区域</t>
    <phoneticPr fontId="2" type="noConversion"/>
  </si>
  <si>
    <t>+</t>
    <phoneticPr fontId="2" type="noConversion"/>
  </si>
  <si>
    <t>选择目标</t>
    <phoneticPr fontId="2" type="noConversion"/>
  </si>
  <si>
    <t>=</t>
    <phoneticPr fontId="2" type="noConversion"/>
  </si>
  <si>
    <t>结果ID</t>
    <phoneticPr fontId="2" type="noConversion"/>
  </si>
  <si>
    <t>时间点</t>
    <phoneticPr fontId="2" type="noConversion"/>
  </si>
  <si>
    <t>目标硬直</t>
    <phoneticPr fontId="2" type="noConversion"/>
  </si>
  <si>
    <t>目标停顿</t>
    <phoneticPr fontId="2" type="noConversion"/>
  </si>
  <si>
    <t>目标移动</t>
    <phoneticPr fontId="2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</si>
  <si>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</si>
  <si>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</si>
  <si>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</si>
  <si>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自身移动</t>
    <phoneticPr fontId="2" type="noConversion"/>
  </si>
  <si>
    <t>锁定目标移动</t>
    <phoneticPr fontId="2" type="noConversion"/>
  </si>
  <si>
    <t>自身停顿</t>
    <phoneticPr fontId="2" type="noConversion"/>
  </si>
  <si>
    <t>伤害</t>
    <phoneticPr fontId="2" type="noConversion"/>
  </si>
  <si>
    <t>子弹持续的</t>
    <phoneticPr fontId="2" type="noConversion"/>
  </si>
  <si>
    <t>区域</t>
    <phoneticPr fontId="2" type="noConversion"/>
  </si>
  <si>
    <t>选择目标</t>
    <phoneticPr fontId="2" type="noConversion"/>
  </si>
  <si>
    <t>子弹结果ID</t>
    <phoneticPr fontId="2" type="noConversion"/>
  </si>
  <si>
    <t>子弹时间点</t>
    <phoneticPr fontId="2" type="noConversion"/>
  </si>
  <si>
    <t>碰撞结果</t>
    <phoneticPr fontId="2" type="noConversion"/>
  </si>
  <si>
    <t>碰撞ID</t>
    <phoneticPr fontId="4" type="noConversion"/>
  </si>
  <si>
    <t>子弹ID</t>
    <phoneticPr fontId="4" type="noConversion"/>
  </si>
  <si>
    <t>int</t>
    <phoneticPr fontId="4" type="noConversion"/>
  </si>
  <si>
    <t>碰撞结果</t>
    <phoneticPr fontId="2" type="noConversion"/>
  </si>
  <si>
    <t>子弹</t>
    <phoneticPr fontId="2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</si>
  <si>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</si>
  <si>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</si>
  <si>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</si>
  <si>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打飞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</si>
  <si>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</si>
  <si>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</si>
  <si>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</si>
  <si>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移动过程时间</t>
    <phoneticPr fontId="2" type="noConversion"/>
  </si>
  <si>
    <t>锁定目标移动</t>
    <phoneticPr fontId="2" type="noConversion"/>
  </si>
  <si>
    <t>用于筛选
子弹可碰撞的目标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</si>
  <si>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</si>
  <si>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t>回血</t>
    <phoneticPr fontId="2" type="noConversion"/>
  </si>
  <si>
    <t>回蓝</t>
    <phoneticPr fontId="2" type="noConversion"/>
  </si>
  <si>
    <t>镜头变速</t>
    <phoneticPr fontId="2" type="noConversion"/>
  </si>
  <si>
    <t>目标硬直</t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</si>
  <si>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</si>
  <si>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</si>
  <si>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</si>
  <si>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</si>
  <si>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声音</t>
    <phoneticPr fontId="2" type="noConversion"/>
  </si>
  <si>
    <t>BUFF id</t>
    <phoneticPr fontId="2" type="noConversion"/>
  </si>
  <si>
    <t>持续时间</t>
    <phoneticPr fontId="2" type="noConversion"/>
  </si>
  <si>
    <t>技能监听</t>
    <phoneticPr fontId="2" type="noConversion"/>
  </si>
  <si>
    <t>参数2</t>
    <phoneticPr fontId="15" type="noConversion"/>
  </si>
  <si>
    <t>参数3</t>
    <phoneticPr fontId="15" type="noConversion"/>
  </si>
  <si>
    <t>参数4</t>
    <phoneticPr fontId="15" type="noConversion"/>
  </si>
  <si>
    <t>自残</t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</si>
  <si>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</si>
  <si>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</si>
  <si>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</si>
  <si>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</si>
  <si>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</si>
  <si>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</si>
  <si>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</si>
  <si>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</si>
  <si>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4" type="noConversion"/>
  </si>
  <si>
    <t>技能指令</t>
    <phoneticPr fontId="4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</si>
  <si>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</si>
  <si>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</si>
  <si>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</si>
  <si>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</si>
  <si>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</si>
  <si>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</si>
  <si>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镜头缩放、移动</t>
    <phoneticPr fontId="2" type="noConversion"/>
  </si>
  <si>
    <t>场景效果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</si>
  <si>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</si>
  <si>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</si>
  <si>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</si>
  <si>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</si>
  <si>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</si>
  <si>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</si>
  <si>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</si>
  <si>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</si>
  <si>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</si>
  <si>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</si>
  <si>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15" type="noConversion"/>
  </si>
  <si>
    <t>复活范围内的怪物，只有死亡后尸体未消失的可复活</t>
    <phoneticPr fontId="15" type="noConversion"/>
  </si>
  <si>
    <t>自身移动</t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</si>
  <si>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15" type="noConversion"/>
  </si>
  <si>
    <t>回血值</t>
    <phoneticPr fontId="2" type="noConversion"/>
  </si>
  <si>
    <t>是否覆盖为新状态</t>
    <phoneticPr fontId="2" type="noConversion"/>
  </si>
  <si>
    <t>是</t>
    <phoneticPr fontId="2" type="noConversion"/>
  </si>
  <si>
    <t>技能监听</t>
  </si>
  <si>
    <t>碰撞结果</t>
  </si>
  <si>
    <t>伤害</t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</si>
  <si>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</si>
  <si>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</si>
  <si>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</si>
  <si>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</si>
  <si>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</si>
  <si>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筛选目标</t>
    <phoneticPr fontId="4" type="noConversion"/>
  </si>
  <si>
    <t>A</t>
    <phoneticPr fontId="4" type="noConversion"/>
  </si>
  <si>
    <t>selectTarget</t>
    <phoneticPr fontId="4" type="noConversion"/>
  </si>
  <si>
    <t>str</t>
    <phoneticPr fontId="4" type="noConversion"/>
  </si>
  <si>
    <t>打飞</t>
  </si>
  <si>
    <t>//</t>
    <phoneticPr fontId="4" type="noConversion"/>
  </si>
  <si>
    <t>hitId</t>
    <phoneticPr fontId="4" type="noConversion"/>
  </si>
  <si>
    <t>bulletId</t>
    <phoneticPr fontId="4" type="noConversion"/>
  </si>
  <si>
    <t>对空</t>
    <phoneticPr fontId="2" type="noConversion"/>
  </si>
  <si>
    <t>站立</t>
    <phoneticPr fontId="2" type="noConversion"/>
  </si>
  <si>
    <t>最高点时间(float)</t>
    <phoneticPr fontId="2" type="noConversion"/>
  </si>
  <si>
    <t>续飞</t>
  </si>
  <si>
    <t>自身停顿</t>
  </si>
  <si>
    <t>目标停顿</t>
  </si>
  <si>
    <t>//</t>
    <phoneticPr fontId="4" type="noConversion"/>
  </si>
  <si>
    <t xml:space="preserve">上升是否要重力
1 要 0 不要
默认0
</t>
    <phoneticPr fontId="2" type="noConversion"/>
  </si>
  <si>
    <t>目标硬直</t>
  </si>
  <si>
    <t>受击特效</t>
  </si>
  <si>
    <t>受击特效</t>
    <phoneticPr fontId="2" type="noConversion"/>
  </si>
  <si>
    <t>是否面向攻击者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</si>
  <si>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</si>
  <si>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t>int</t>
    <phoneticPr fontId="4" type="noConversion"/>
  </si>
  <si>
    <t>指令参数4</t>
    <phoneticPr fontId="4" type="noConversion"/>
  </si>
  <si>
    <t>指令参数6</t>
    <phoneticPr fontId="4" type="noConversion"/>
  </si>
  <si>
    <t>重复</t>
    <phoneticPr fontId="4" type="noConversion"/>
  </si>
  <si>
    <t>间隔</t>
    <phoneticPr fontId="4" type="noConversion"/>
  </si>
  <si>
    <t>技能监听</t>
    <phoneticPr fontId="4" type="noConversion"/>
  </si>
  <si>
    <t>注释</t>
    <phoneticPr fontId="4" type="noConversion"/>
  </si>
  <si>
    <t>招式名</t>
    <phoneticPr fontId="4" type="noConversion"/>
  </si>
  <si>
    <t>时间点</t>
    <phoneticPr fontId="4" type="noConversion"/>
  </si>
  <si>
    <t>触发指令的时间点</t>
    <phoneticPr fontId="4" type="noConversion"/>
  </si>
  <si>
    <t>碰撞框产生的ID,0表示没有</t>
    <phoneticPr fontId="4" type="noConversion"/>
  </si>
  <si>
    <t>子弹物体产生的ID，0表示没有</t>
    <phoneticPr fontId="4" type="noConversion"/>
  </si>
  <si>
    <t>目标推置</t>
    <phoneticPr fontId="4" type="noConversion"/>
  </si>
  <si>
    <t>当不为0时，则效果重复多次生效
例：填1则重复1次，即总共生效2次</t>
    <phoneticPr fontId="2" type="noConversion"/>
  </si>
  <si>
    <t>打飞高度Y</t>
  </si>
  <si>
    <t>进度条高度Y
填百分比，
进度条高度Y=目标名称高度Y*百分比</t>
  </si>
  <si>
    <t>X轴水平位移</t>
  </si>
  <si>
    <t>X轴水平位移</t>
    <phoneticPr fontId="2" type="noConversion"/>
  </si>
  <si>
    <t>Z轴纵深位移</t>
  </si>
  <si>
    <t>X轴水平位移(int)</t>
    <phoneticPr fontId="2" type="noConversion"/>
  </si>
  <si>
    <t>Z轴纵深位移</t>
    <phoneticPr fontId="2" type="noConversion"/>
  </si>
  <si>
    <t>Z轴纵深位移(int)</t>
    <phoneticPr fontId="2" type="noConversion"/>
  </si>
  <si>
    <t>打飞高度(int)</t>
    <phoneticPr fontId="2" type="noConversion"/>
  </si>
  <si>
    <t>//</t>
    <phoneticPr fontId="4" type="noConversion"/>
  </si>
  <si>
    <t>Sj002_RE</t>
    <phoneticPr fontId="4" type="noConversion"/>
  </si>
  <si>
    <t>EF</t>
    <phoneticPr fontId="4" type="noConversion"/>
  </si>
  <si>
    <t>A</t>
    <phoneticPr fontId="4" type="noConversion"/>
  </si>
  <si>
    <t xml:space="preserve">上升是否要重力
1 要 0 不要
默认0
</t>
    <phoneticPr fontId="2" type="noConversion"/>
  </si>
  <si>
    <t>EFTB</t>
    <phoneticPr fontId="4" type="noConversion"/>
  </si>
  <si>
    <t>EFT</t>
    <phoneticPr fontId="4" type="noConversion"/>
  </si>
  <si>
    <t>ETB</t>
    <phoneticPr fontId="4" type="noConversion"/>
  </si>
  <si>
    <t>需要存在目标（1需要，0不需要）</t>
    <phoneticPr fontId="2" type="noConversion"/>
  </si>
  <si>
    <t>ET</t>
    <phoneticPr fontId="4" type="noConversion"/>
  </si>
  <si>
    <t>ET</t>
    <phoneticPr fontId="4" type="noConversion"/>
  </si>
  <si>
    <t>EFT</t>
    <phoneticPr fontId="4" type="noConversion"/>
  </si>
  <si>
    <t>受击动作</t>
  </si>
  <si>
    <t>hurt2</t>
    <phoneticPr fontId="4" type="noConversion"/>
  </si>
  <si>
    <t>被动状态：受击动作</t>
    <phoneticPr fontId="2" type="noConversion"/>
  </si>
  <si>
    <t>伤害</t>
    <phoneticPr fontId="2" type="noConversion"/>
  </si>
  <si>
    <t>自身停顿</t>
    <phoneticPr fontId="2" type="noConversion"/>
  </si>
  <si>
    <t>受击特效</t>
    <phoneticPr fontId="2" type="noConversion"/>
  </si>
  <si>
    <t>受击动作</t>
    <phoneticPr fontId="2" type="noConversion"/>
  </si>
  <si>
    <t>目标硬直</t>
    <phoneticPr fontId="2" type="noConversion"/>
  </si>
  <si>
    <t>目标停顿</t>
    <phoneticPr fontId="2" type="noConversion"/>
  </si>
  <si>
    <t>目标推置</t>
    <phoneticPr fontId="2" type="noConversion"/>
  </si>
  <si>
    <t>打飞高度(int)</t>
    <phoneticPr fontId="2" type="noConversion"/>
  </si>
  <si>
    <t>指令名称</t>
    <phoneticPr fontId="2" type="noConversion"/>
  </si>
  <si>
    <t>E：敌方
M：友方
S：自己
P：主人或宠物
F：浮空
L：倒地
T：站立
D：死亡
B：霸体
A：全体</t>
    <phoneticPr fontId="4" type="noConversion"/>
  </si>
  <si>
    <t>伤害数值(int)</t>
    <phoneticPr fontId="2" type="noConversion"/>
  </si>
  <si>
    <t>minX(int)</t>
    <phoneticPr fontId="2" type="noConversion"/>
  </si>
  <si>
    <t>被动状态：停顿</t>
    <phoneticPr fontId="2" type="noConversion"/>
  </si>
  <si>
    <t>被动状态：受击动作</t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</si>
  <si>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15" type="noConversion"/>
  </si>
  <si>
    <t>振幅</t>
    <phoneticPr fontId="2" type="noConversion"/>
  </si>
  <si>
    <t>震屏总次数
持续时间内震荡的总次数</t>
    <phoneticPr fontId="2" type="noConversion"/>
  </si>
  <si>
    <t>持续时间
秒为单位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</si>
  <si>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</si>
  <si>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</si>
  <si>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</si>
  <si>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t xml:space="preserve">附加指令：僵直，受击特效，命中音效，震屏
效果：命中变色
</t>
    <phoneticPr fontId="2" type="noConversion"/>
  </si>
  <si>
    <t>站立</t>
    <phoneticPr fontId="2" type="noConversion"/>
  </si>
  <si>
    <t>被动状态：推动</t>
    <phoneticPr fontId="2" type="noConversion"/>
  </si>
  <si>
    <t>目标推置</t>
    <phoneticPr fontId="2" type="noConversion"/>
  </si>
  <si>
    <t>参数8</t>
    <phoneticPr fontId="2" type="noConversion"/>
  </si>
  <si>
    <t>参数9</t>
    <phoneticPr fontId="2" type="noConversion"/>
  </si>
  <si>
    <t>参数10</t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</si>
  <si>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</si>
  <si>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</si>
  <si>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</si>
  <si>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t>X轴水平位移(int)</t>
    <phoneticPr fontId="2" type="noConversion"/>
  </si>
  <si>
    <t>停顿时间(float)</t>
    <phoneticPr fontId="2" type="noConversion"/>
  </si>
  <si>
    <t>播放特效</t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</si>
  <si>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</si>
  <si>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</si>
  <si>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</si>
  <si>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</si>
  <si>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</si>
  <si>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</si>
  <si>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</si>
  <si>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准备子弹</t>
    <phoneticPr fontId="2" type="noConversion"/>
  </si>
  <si>
    <t>震屏</t>
    <phoneticPr fontId="2" type="noConversion"/>
  </si>
  <si>
    <t>条件ID</t>
    <phoneticPr fontId="2" type="noConversion"/>
  </si>
  <si>
    <t>优先级</t>
    <phoneticPr fontId="4" type="noConversion"/>
  </si>
  <si>
    <t>条件名称</t>
    <phoneticPr fontId="2" type="noConversion"/>
  </si>
  <si>
    <t>条件说明</t>
    <phoneticPr fontId="2" type="noConversion"/>
  </si>
  <si>
    <t>条件参数</t>
    <phoneticPr fontId="2" type="noConversion"/>
  </si>
  <si>
    <t>命中</t>
    <phoneticPr fontId="2" type="noConversion"/>
  </si>
  <si>
    <t>生效条件：当前指令中的碰撞框不为空</t>
    <phoneticPr fontId="2" type="noConversion"/>
  </si>
  <si>
    <t>概率</t>
    <phoneticPr fontId="2" type="noConversion"/>
  </si>
  <si>
    <t>生效条件：</t>
    <phoneticPr fontId="2" type="noConversion"/>
  </si>
  <si>
    <t>待定</t>
    <phoneticPr fontId="15" type="noConversion"/>
  </si>
  <si>
    <t>目标动作停顿相应时间。停顿过程中目标无法行动。
如果目标已处于停顿状态，则覆盖停顿时间
目标停顿和目标硬直可以同时存在，不互相影响</t>
    <phoneticPr fontId="15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</si>
  <si>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</si>
  <si>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否
可同时进行</t>
    <phoneticPr fontId="2" type="noConversion"/>
  </si>
  <si>
    <t>特效预制件ID</t>
    <phoneticPr fontId="2" type="noConversion"/>
  </si>
  <si>
    <t>模型预制件ID</t>
    <phoneticPr fontId="2" type="noConversion"/>
  </si>
  <si>
    <t>子弹飞行最大距离</t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</si>
  <si>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</si>
  <si>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是否面向攻击者</t>
    <phoneticPr fontId="2" type="noConversion"/>
  </si>
  <si>
    <t>指令ID</t>
  </si>
  <si>
    <t>条件触发</t>
    <phoneticPr fontId="2" type="noConversion"/>
  </si>
  <si>
    <t>碰撞结果</t>
    <phoneticPr fontId="2" type="noConversion"/>
  </si>
  <si>
    <t>指令说明
注：距离的默认单位使用厘米，时间的默认单位使用秒</t>
    <phoneticPr fontId="15" type="noConversion"/>
  </si>
  <si>
    <t>特效缩放百分比</t>
    <phoneticPr fontId="2" type="noConversion"/>
  </si>
  <si>
    <t>停顿时间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</si>
  <si>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</si>
  <si>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</si>
  <si>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当范围内存在目标时，自身停顿相应时间</t>
    <phoneticPr fontId="2" type="noConversion"/>
  </si>
  <si>
    <t>动作ID</t>
    <phoneticPr fontId="2" type="noConversion"/>
  </si>
  <si>
    <t>硬直时间</t>
    <phoneticPr fontId="2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</si>
  <si>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</si>
  <si>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</si>
  <si>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</si>
  <si>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</si>
  <si>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子弹大小缩放</t>
    <phoneticPr fontId="2" type="noConversion"/>
  </si>
  <si>
    <t>相对自身偏移的某个位置，播放模型自身的特效，或者公共特效库中的特效</t>
    <phoneticPr fontId="15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</si>
  <si>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</si>
  <si>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4.无作用
5.追踪(暂时不做)</t>
    </r>
    <phoneticPr fontId="2" type="noConversion"/>
  </si>
  <si>
    <t>Y轴位移</t>
    <phoneticPr fontId="2" type="noConversion"/>
  </si>
  <si>
    <t>X轴位移</t>
    <phoneticPr fontId="2" type="noConversion"/>
  </si>
  <si>
    <t>倒地过程时间</t>
    <phoneticPr fontId="2" type="noConversion"/>
  </si>
  <si>
    <t>倒地持续时间</t>
    <phoneticPr fontId="2" type="noConversion"/>
  </si>
  <si>
    <t>打飞高度Y</t>
    <phoneticPr fontId="2" type="noConversion"/>
  </si>
  <si>
    <t>最高点X轴位移</t>
    <phoneticPr fontId="2" type="noConversion"/>
  </si>
  <si>
    <t>最高点Z轴位移</t>
    <phoneticPr fontId="2" type="noConversion"/>
  </si>
  <si>
    <t>固定值</t>
    <phoneticPr fontId="2" type="noConversion"/>
  </si>
  <si>
    <t>令范围内站立目标进入硬直状态，播放站立受击动作(默认受击动作为hurt1，如果对目标硬直为0则不播放)，并持续一定时间。
硬直状态下无法行动，并且技能中断
如果目标已处于硬直状态，则覆盖硬直时间
对浮空单位无效</t>
    <phoneticPr fontId="17" type="noConversion"/>
  </si>
  <si>
    <t>在范围内的目标身上播放相应的特效</t>
    <phoneticPr fontId="15" type="noConversion"/>
  </si>
  <si>
    <t>如果自身已处于停顿状态，则覆盖停顿时间</t>
    <phoneticPr fontId="15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</si>
  <si>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16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</si>
  <si>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</si>
  <si>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</si>
  <si>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t>最高点Z轴位移</t>
    <phoneticPr fontId="2" type="noConversion"/>
  </si>
  <si>
    <t>自身在一定时间内移动一定距离。如果当前处于移动状态，则覆盖使用新的移动效果
在自身移动过程中，移动施展无效。</t>
    <phoneticPr fontId="15" type="noConversion"/>
  </si>
  <si>
    <t>待定
1.对浮空、跳跃单位：
2.对站立单位：
3.对倒地单位：</t>
    <phoneticPr fontId="15" type="noConversion"/>
  </si>
  <si>
    <t>在一段时间内移动到当前仇恨目标的位置(怪物使用)</t>
    <phoneticPr fontId="15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</si>
  <si>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15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</si>
  <si>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</si>
  <si>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是</t>
    <phoneticPr fontId="2" type="noConversion"/>
  </si>
  <si>
    <t>伤害百分比</t>
    <phoneticPr fontId="2" type="noConversion"/>
  </si>
  <si>
    <t>播放模型动作</t>
    <phoneticPr fontId="2" type="noConversion"/>
  </si>
  <si>
    <t>蓝量百分比</t>
    <phoneticPr fontId="2" type="noConversion"/>
  </si>
  <si>
    <t>跟随移动
跟随技能释放者移动
0不跟
1跟随</t>
    <phoneticPr fontId="2" type="noConversion"/>
  </si>
  <si>
    <t>特效偏移坐标
X|Y|Z</t>
    <phoneticPr fontId="2" type="noConversion"/>
  </si>
  <si>
    <t xml:space="preserve">
</t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</si>
  <si>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</si>
  <si>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</si>
  <si>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r>
      <t xml:space="preserve">暂时不做
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</si>
  <si>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</si>
  <si>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特效时间
0为默认动作时间</t>
    <phoneticPr fontId="2" type="noConversion"/>
  </si>
  <si>
    <t>被动状态：受击动作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</si>
  <si>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15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</si>
  <si>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15" type="noConversion"/>
  </si>
  <si>
    <t>是</t>
    <phoneticPr fontId="2" type="noConversion"/>
  </si>
  <si>
    <t>最高点X轴位移</t>
    <phoneticPr fontId="2" type="noConversion"/>
  </si>
  <si>
    <t>打飞高度Y</t>
    <phoneticPr fontId="2" type="noConversion"/>
  </si>
  <si>
    <t>Z轴位移</t>
    <phoneticPr fontId="2" type="noConversion"/>
  </si>
  <si>
    <t>直接扣除自身的生命</t>
    <phoneticPr fontId="15" type="noConversion"/>
  </si>
  <si>
    <t>怪物ID</t>
    <phoneticPr fontId="2" type="noConversion"/>
  </si>
  <si>
    <t>数量</t>
    <phoneticPr fontId="2" type="noConversion"/>
  </si>
  <si>
    <t>召唤人宠技怪物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</si>
  <si>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</si>
  <si>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t>在某个范围内随机位置召唤怪物</t>
    <phoneticPr fontId="15" type="noConversion"/>
  </si>
  <si>
    <t>相对自身偏移的某个位置，播放某个模型的某个动作</t>
    <phoneticPr fontId="15" type="noConversion"/>
  </si>
  <si>
    <t>在该指令生效后，在监听时间内进行持续监听，在对应监听类型触发时，执行相应的指令。可同时进行多个监听。</t>
    <phoneticPr fontId="15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</si>
  <si>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</si>
  <si>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</si>
  <si>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</si>
  <si>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2.穿透(需要配置管理号，不需要碰撞结果指令)
3.位置空降
4.目标位置空降
5.追踪(暂时不做)</t>
    </r>
    <phoneticPr fontId="2" type="noConversion"/>
  </si>
  <si>
    <t>args2</t>
  </si>
  <si>
    <t>args3</t>
  </si>
  <si>
    <t>args4</t>
  </si>
  <si>
    <t>目标推置</t>
    <phoneticPr fontId="4" type="noConversion"/>
  </si>
  <si>
    <t>自身停顿</t>
    <phoneticPr fontId="4" type="noConversion"/>
  </si>
  <si>
    <t>cmdType</t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</si>
  <si>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</si>
  <si>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</si>
  <si>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</si>
  <si>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数量(int)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</si>
  <si>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</si>
  <si>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fieldname</t>
  </si>
  <si>
    <r>
      <t>对应指令参数1</t>
    </r>
    <r>
      <rPr>
        <sz val="11"/>
        <color rgb="FFFF0000"/>
        <rFont val="宋体"/>
        <family val="3"/>
        <charset val="134"/>
        <scheme val="minor"/>
      </rPr>
      <t xml:space="preserve">
指令1：无
指令2：技能ID(非索引ID)
指令3：
指令4：</t>
    </r>
    <phoneticPr fontId="15" type="noConversion"/>
  </si>
  <si>
    <r>
      <t xml:space="preserve">minY(int)
</t>
    </r>
    <r>
      <rPr>
        <sz val="11"/>
        <color rgb="FFFF0000"/>
        <rFont val="宋体"/>
        <family val="3"/>
        <charset val="134"/>
        <scheme val="minor"/>
      </rPr>
      <t>从地面算起则填-10</t>
    </r>
    <phoneticPr fontId="2" type="noConversion"/>
  </si>
  <si>
    <t>mangerId</t>
    <phoneticPr fontId="4" type="noConversion"/>
  </si>
  <si>
    <t>生成的json：</t>
  </si>
  <si>
    <t>{</t>
  </si>
  <si>
    <t>},</t>
  </si>
  <si>
    <t>}</t>
  </si>
  <si>
    <t xml:space="preserve">    "actId":10001,</t>
  </si>
  <si>
    <t xml:space="preserve">    "startTime":0,</t>
  </si>
  <si>
    <t xml:space="preserve">    "hitId":0,</t>
  </si>
  <si>
    <t xml:space="preserve">    "selectTarget":"",</t>
  </si>
  <si>
    <t xml:space="preserve">    "cmdType":11,</t>
  </si>
  <si>
    <t xml:space="preserve">    "args1":"15",</t>
  </si>
  <si>
    <t xml:space="preserve">    "args2":"0",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</si>
  <si>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</si>
  <si>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</si>
  <si>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</si>
  <si>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</si>
  <si>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</si>
  <si>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</si>
  <si>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</si>
  <si>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</si>
  <si>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 xml:space="preserve">    "hitId":1,</t>
  </si>
  <si>
    <t xml:space="preserve">    "selectTarget":"A",</t>
  </si>
  <si>
    <t xml:space="preserve">    "cmdType":31,</t>
  </si>
  <si>
    <t xml:space="preserve">    "args1":"0",</t>
  </si>
  <si>
    <t xml:space="preserve">    "args2":"200",</t>
  </si>
  <si>
    <t xml:space="preserve">    "args3":"-10",</t>
  </si>
  <si>
    <t xml:space="preserve">    "args4":"300",</t>
  </si>
  <si>
    <t xml:space="preserve">    "args5":"-70",</t>
  </si>
  <si>
    <t xml:space="preserve">    "args6":"70",</t>
  </si>
  <si>
    <t xml:space="preserve">    "hitId":2,</t>
  </si>
  <si>
    <t xml:space="preserve">    "args2":"100",</t>
  </si>
  <si>
    <t xml:space="preserve">    "hitId":3,</t>
  </si>
  <si>
    <t xml:space="preserve">    "args2":"50",</t>
  </si>
  <si>
    <t xml:space="preserve">    "selectTarget":"EFTB",</t>
  </si>
  <si>
    <t xml:space="preserve">    "cmdType":1,</t>
  </si>
  <si>
    <t xml:space="preserve">    "args1":"300",</t>
  </si>
  <si>
    <t xml:space="preserve">    "args2":"1",</t>
  </si>
  <si>
    <t xml:space="preserve">    "args3":"",</t>
  </si>
  <si>
    <t xml:space="preserve">    "selectTarget":"EF",</t>
  </si>
  <si>
    <t xml:space="preserve">    "cmdType":9,</t>
  </si>
  <si>
    <t xml:space="preserve">    "args1":"20",</t>
  </si>
  <si>
    <t xml:space="preserve">    "args2":"20",</t>
  </si>
  <si>
    <t xml:space="preserve">    "args3":"0",</t>
  </si>
  <si>
    <t xml:space="preserve">    "args5":"160",</t>
  </si>
  <si>
    <t xml:space="preserve">    "selectTarget":"ETB",</t>
  </si>
  <si>
    <t xml:space="preserve">    "cmdType":7,</t>
  </si>
  <si>
    <t xml:space="preserve">    "args1":"40",</t>
  </si>
  <si>
    <t xml:space="preserve">    "cmdType":18,</t>
  </si>
  <si>
    <t xml:space="preserve">    "args1":"1",</t>
  </si>
  <si>
    <t xml:space="preserve">    "args3":"2",</t>
  </si>
  <si>
    <t xml:space="preserve">    "args4":"2",</t>
  </si>
  <si>
    <t xml:space="preserve">    "actId":20001,</t>
  </si>
  <si>
    <t xml:space="preserve">    "bulletId":0,</t>
  </si>
  <si>
    <t xml:space="preserve">    "mangerId":0,</t>
  </si>
  <si>
    <t xml:space="preserve">    "selectTarget":"EFT",</t>
  </si>
  <si>
    <t xml:space="preserve">    "cmdType":4,</t>
  </si>
  <si>
    <t xml:space="preserve">    "args1":"hurt2",</t>
  </si>
  <si>
    <t xml:space="preserve">    "selectTarget":"ET",</t>
  </si>
  <si>
    <t xml:space="preserve">    "args4":"3",</t>
  </si>
  <si>
    <t xml:space="preserve">    "actId":30001,</t>
  </si>
  <si>
    <t xml:space="preserve">    "args1":"30",</t>
  </si>
  <si>
    <t xml:space="preserve">    "cmdType":8,</t>
  </si>
  <si>
    <t xml:space="preserve">    "args1":"50",</t>
  </si>
  <si>
    <t xml:space="preserve">    "args2":"150",</t>
  </si>
  <si>
    <t xml:space="preserve">    "args5":"200",</t>
  </si>
  <si>
    <t xml:space="preserve">    "args2":"60",</t>
  </si>
  <si>
    <t xml:space="preserve">    "args5":"180",</t>
  </si>
  <si>
    <t xml:space="preserve">    "args4":"4",</t>
  </si>
  <si>
    <t xml:space="preserve">    "actId":40001,</t>
  </si>
  <si>
    <t xml:space="preserve">    "args1":"10",</t>
  </si>
  <si>
    <t xml:space="preserve">    "args4":"1",</t>
  </si>
  <si>
    <t>"5":{</t>
  </si>
  <si>
    <t xml:space="preserve">    "Id":5,</t>
  </si>
  <si>
    <t>"6":{</t>
  </si>
  <si>
    <t xml:space="preserve">    "Id":6,</t>
  </si>
  <si>
    <t>"7":{</t>
  </si>
  <si>
    <t xml:space="preserve">    "Id":7,</t>
  </si>
  <si>
    <t>"8":{</t>
  </si>
  <si>
    <t xml:space="preserve">    "Id":8,</t>
  </si>
  <si>
    <t>"9":{</t>
  </si>
  <si>
    <t xml:space="preserve">    "Id":9,</t>
  </si>
  <si>
    <t>"10":{</t>
  </si>
  <si>
    <t xml:space="preserve">    "Id":10,</t>
  </si>
  <si>
    <t>"13":{</t>
  </si>
  <si>
    <t xml:space="preserve">    "Id":13,</t>
  </si>
  <si>
    <t>"15":{</t>
  </si>
  <si>
    <t xml:space="preserve">    "Id":15,</t>
  </si>
  <si>
    <t>"18":{</t>
  </si>
  <si>
    <t xml:space="preserve">    "Id":18,</t>
  </si>
  <si>
    <t>"19":{</t>
  </si>
  <si>
    <t xml:space="preserve">    "Id":19,</t>
  </si>
  <si>
    <t>"22":{</t>
  </si>
  <si>
    <t xml:space="preserve">    "Id":22,</t>
  </si>
  <si>
    <t>"23":{</t>
  </si>
  <si>
    <t xml:space="preserve">    "Id":23,</t>
  </si>
  <si>
    <t>"24":{</t>
  </si>
  <si>
    <t xml:space="preserve">    "Id":24,</t>
  </si>
  <si>
    <t>"25":{</t>
  </si>
  <si>
    <t xml:space="preserve">    "Id":25,</t>
  </si>
  <si>
    <t>"26":{</t>
  </si>
  <si>
    <t xml:space="preserve">    "Id":26,</t>
  </si>
  <si>
    <t>"28":{</t>
  </si>
  <si>
    <t xml:space="preserve">    "Id":28,</t>
  </si>
  <si>
    <t>"29":{</t>
  </si>
  <si>
    <t xml:space="preserve">    "Id":29,</t>
  </si>
  <si>
    <t>"30":{</t>
  </si>
  <si>
    <t xml:space="preserve">    "Id":30,</t>
  </si>
  <si>
    <t>"31":{</t>
  </si>
  <si>
    <t xml:space="preserve">    "Id":31,</t>
  </si>
  <si>
    <t>"32":{</t>
  </si>
  <si>
    <t xml:space="preserve">    "Id":32,</t>
  </si>
  <si>
    <t>"36":{</t>
  </si>
  <si>
    <t xml:space="preserve">    "Id":36,</t>
  </si>
  <si>
    <t>"38":{</t>
  </si>
  <si>
    <t xml:space="preserve">    "Id":38,</t>
  </si>
  <si>
    <t>"39":{</t>
  </si>
  <si>
    <t xml:space="preserve">    "Id":39,</t>
  </si>
  <si>
    <t>"40":{</t>
  </si>
  <si>
    <t xml:space="preserve">    "Id":40,</t>
  </si>
  <si>
    <t>"41":{</t>
  </si>
  <si>
    <t xml:space="preserve">    "Id":41,</t>
  </si>
  <si>
    <t>"44":{</t>
  </si>
  <si>
    <t xml:space="preserve">    "Id":44,</t>
  </si>
  <si>
    <t>"45":{</t>
  </si>
  <si>
    <t xml:space="preserve">    "Id":45,</t>
  </si>
  <si>
    <t>"46":{</t>
  </si>
  <si>
    <t xml:space="preserve">    "Id":46,</t>
  </si>
  <si>
    <t>"47":{</t>
  </si>
  <si>
    <t xml:space="preserve">    "Id":47,</t>
  </si>
  <si>
    <t>"48":{</t>
  </si>
  <si>
    <t xml:space="preserve">    "Id":48,</t>
  </si>
  <si>
    <t>"51":{</t>
  </si>
  <si>
    <t xml:space="preserve">    "Id":51,</t>
  </si>
  <si>
    <t>"52":{</t>
  </si>
  <si>
    <t xml:space="preserve">    "Id":52,</t>
  </si>
  <si>
    <t xml:space="preserve">    "args1":"",</t>
  </si>
  <si>
    <t>int</t>
    <phoneticPr fontId="4" type="noConversion"/>
  </si>
  <si>
    <t xml:space="preserve">    "startTime":0.14,</t>
  </si>
  <si>
    <t xml:space="preserve">    "args3":"0.1",</t>
  </si>
  <si>
    <t xml:space="preserve">    "args4":"0.2",</t>
  </si>
  <si>
    <t xml:space="preserve">    "startTime":0.28,</t>
  </si>
  <si>
    <t xml:space="preserve">    "startTime":0.3,</t>
  </si>
  <si>
    <t xml:space="preserve">    "startTime":0.16,</t>
  </si>
  <si>
    <t xml:space="preserve">    "args4":"0.25",</t>
  </si>
  <si>
    <t xml:space="preserve">    "startTime":0.35,</t>
  </si>
  <si>
    <t xml:space="preserve">    "startTime":0.26,</t>
  </si>
  <si>
    <t xml:space="preserve">    "startTime":0.29,</t>
  </si>
  <si>
    <t xml:space="preserve">    "startTime":0.42,</t>
  </si>
  <si>
    <t>我我我</t>
    <phoneticPr fontId="4" type="noConversion"/>
  </si>
  <si>
    <t xml:space="preserve">    "args1":"我我我",</t>
  </si>
  <si>
    <t>召唤人宠技怪物</t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</si>
  <si>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</si>
  <si>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r>
      <t xml:space="preserve">子弹飞行最大X距离
</t>
    </r>
    <r>
      <rPr>
        <sz val="11"/>
        <color rgb="FFFF0000"/>
        <rFont val="宋体"/>
        <family val="3"/>
        <charset val="134"/>
        <scheme val="minor"/>
      </rPr>
      <t>厘米为单位</t>
    </r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</si>
  <si>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
高度匹配到行走区</t>
    </r>
    <phoneticPr fontId="2" type="noConversion"/>
  </si>
  <si>
    <t>目标停顿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</si>
  <si>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</si>
  <si>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播放声音文件夹内的某个声音资源
如有多个则随机播放一个
相同的声音最多可同时播放3个，防止同时播放多个产生爆音</t>
    <phoneticPr fontId="15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</si>
  <si>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</si>
  <si>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</si>
  <si>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 xml:space="preserve">    "intervalTime":0</t>
    <phoneticPr fontId="2" type="noConversion"/>
  </si>
  <si>
    <t>}</t>
    <phoneticPr fontId="2" type="noConversion"/>
  </si>
  <si>
    <t xml:space="preserve">    "intervalTime":0</t>
    <phoneticPr fontId="2" type="noConversion"/>
  </si>
  <si>
    <t>无</t>
    <phoneticPr fontId="2" type="noConversion"/>
  </si>
  <si>
    <t>完成度</t>
    <phoneticPr fontId="2" type="noConversion"/>
  </si>
  <si>
    <t>目标空降，位置空降还没做</t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</si>
  <si>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</si>
  <si>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t>特效时间
无效</t>
    <phoneticPr fontId="2" type="noConversion"/>
  </si>
  <si>
    <t>隐身</t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</si>
  <si>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</si>
  <si>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</si>
  <si>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BUFF触发点</t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</si>
  <si>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</si>
  <si>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</si>
  <si>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</si>
  <si>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</si>
  <si>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</si>
  <si>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聚焦模糊</t>
    <phoneticPr fontId="2" type="noConversion"/>
  </si>
  <si>
    <t>聚焦模糊</t>
    <phoneticPr fontId="2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</si>
  <si>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15" type="noConversion"/>
  </si>
  <si>
    <t>场景变色
待定</t>
    <phoneticPr fontId="15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</si>
  <si>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</si>
  <si>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t>对应指令参数1
指令1：无
指令2：技能ID
指令3：
指令4：</t>
    <phoneticPr fontId="15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</si>
  <si>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</si>
  <si>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
注意：伤害要放在续飞后面，避免伤害后目标死亡触发的打飞效果被覆盖(主要是最后一击)</t>
    <phoneticPr fontId="15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</si>
  <si>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</si>
  <si>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移动过程时间
不能为0</t>
    <phoneticPr fontId="2" type="noConversion"/>
  </si>
  <si>
    <t>是否受到重力
0否
1是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</si>
  <si>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</si>
  <si>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</si>
  <si>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到达最高点时间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</si>
  <si>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</si>
  <si>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</t>
    </r>
    <phoneticPr fontId="2" type="noConversion"/>
  </si>
  <si>
    <t>player1_atk_jineng2_04_Sf_E(Clone)</t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</si>
  <si>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</si>
  <si>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BUFF触发点</t>
    <phoneticPr fontId="2" type="noConversion"/>
  </si>
  <si>
    <t>攻击命中目标后
在该触发点触发自身身上的BUFF，判断对应BUFF的触发条件是否满足
触发成功后，则对碰撞框内的目标添加BUFF</t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</si>
  <si>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</si>
  <si>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模型隐藏一段时间
</t>
    </r>
    <r>
      <rPr>
        <sz val="11"/>
        <color rgb="FFFF0000"/>
        <rFont val="宋体"/>
        <family val="3"/>
        <charset val="134"/>
        <scheme val="minor"/>
      </rPr>
      <t xml:space="preserve">
时长结束后恢复原来状态，禁止同时执行多条隐身指令</t>
    </r>
    <phoneticPr fontId="2" type="noConversion"/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</si>
  <si>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</si>
  <si>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t>隐身</t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</si>
  <si>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
如果怪物本身配置了不显示，则无法再显示出来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</si>
  <si>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
如果怪物本身配置了不显示，则无法再显示出来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</si>
  <si>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
如果怪物本身配置了不显示，则无法再显示出来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</si>
  <si>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</si>
  <si>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</si>
  <si>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t>显示飘血动画
1是
0否</t>
    <phoneticPr fontId="2" type="noConversion"/>
  </si>
  <si>
    <r>
      <t xml:space="preserve">显示飘血动画
</t>
    </r>
    <r>
      <rPr>
        <sz val="11"/>
        <color rgb="FFFF0000"/>
        <rFont val="宋体"/>
        <family val="3"/>
        <charset val="134"/>
        <scheme val="minor"/>
      </rPr>
      <t>1是
0否</t>
    </r>
    <phoneticPr fontId="2" type="noConversion"/>
  </si>
  <si>
    <t>吟唱进度条</t>
    <phoneticPr fontId="2" type="noConversion"/>
  </si>
  <si>
    <t>在目标身上位置显示吟唱进度条。进度条消失时淡化消失</t>
    <phoneticPr fontId="15" type="noConversion"/>
  </si>
  <si>
    <t>回蓝值</t>
    <phoneticPr fontId="2" type="noConversion"/>
  </si>
  <si>
    <r>
      <t xml:space="preserve">添加概率
</t>
    </r>
    <r>
      <rPr>
        <sz val="11"/>
        <color rgb="FFFF0000"/>
        <rFont val="宋体"/>
        <family val="3"/>
        <charset val="134"/>
        <scheme val="minor"/>
      </rPr>
      <t>1为100%</t>
    </r>
    <phoneticPr fontId="2" type="noConversion"/>
  </si>
  <si>
    <r>
      <t xml:space="preserve">附加概率(float)
</t>
    </r>
    <r>
      <rPr>
        <sz val="11"/>
        <color rgb="FFFF0000"/>
        <rFont val="宋体"/>
        <family val="3"/>
        <charset val="134"/>
        <scheme val="minor"/>
      </rPr>
      <t>1为100%</t>
    </r>
    <phoneticPr fontId="2" type="noConversion"/>
  </si>
  <si>
    <t>在某个范围内随机位置召唤怪物</t>
    <phoneticPr fontId="15" type="noConversion"/>
  </si>
  <si>
    <t>加BUFF</t>
    <phoneticPr fontId="2" type="noConversion"/>
  </si>
  <si>
    <t>对范围内目标添加某个ID的BUFF，持续一定时间，一定概率添加成功
不设置碰撞框时，目标范围为全场</t>
    <phoneticPr fontId="15" type="noConversion"/>
  </si>
  <si>
    <t>回复血量=回血值+自身血量上限*百分比
目标身上显示回血上飘动画
不设置碰撞框时，目标范围为全场</t>
    <phoneticPr fontId="15" type="noConversion"/>
  </si>
  <si>
    <t>回复蓝量=回蓝值+自身蓝量上限*百分比
目标身上显示回蓝上飘动画
不设置碰撞框时，目标范围为全场</t>
    <phoneticPr fontId="15" type="noConversion"/>
  </si>
  <si>
    <r>
      <t xml:space="preserve">蓝量百分比
</t>
    </r>
    <r>
      <rPr>
        <sz val="11"/>
        <color rgb="FFFF0000"/>
        <rFont val="宋体"/>
        <family val="3"/>
        <charset val="134"/>
        <scheme val="minor"/>
      </rPr>
      <t>1为100%</t>
    </r>
    <phoneticPr fontId="2" type="noConversion"/>
  </si>
  <si>
    <r>
      <t xml:space="preserve">血量百分比
</t>
    </r>
    <r>
      <rPr>
        <sz val="11"/>
        <color rgb="FFFF0000"/>
        <rFont val="宋体"/>
        <family val="3"/>
        <charset val="134"/>
        <scheme val="minor"/>
      </rPr>
      <t>1为100%</t>
    </r>
    <phoneticPr fontId="2" type="noConversion"/>
  </si>
  <si>
    <t>硬值时间(float)</t>
    <phoneticPr fontId="2" type="noConversion"/>
  </si>
  <si>
    <t>X轴水平位移(int)</t>
    <phoneticPr fontId="2" type="noConversion"/>
  </si>
  <si>
    <t>maxZ(int)</t>
    <phoneticPr fontId="2" type="noConversion"/>
  </si>
  <si>
    <r>
      <t xml:space="preserve">召唤怪物是否特效
</t>
    </r>
    <r>
      <rPr>
        <sz val="11"/>
        <color rgb="FFFF0000"/>
        <rFont val="宋体"/>
        <family val="3"/>
        <charset val="134"/>
        <scheme val="minor"/>
      </rPr>
      <t>0否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1是，不受阻挡影响</t>
    </r>
    <phoneticPr fontId="2" type="noConversion"/>
  </si>
  <si>
    <t>蓄力未完成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</si>
</sst>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0" tint="-4.9989318521683403E-2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 tint="-4.9989318521683403E-2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trike/>
      <sz val="11"/>
      <color theme="1"/>
      <name val="宋体"/>
      <family val="2"/>
      <scheme val="minor"/>
    </font>
    <font>
      <b/>
      <strike/>
      <sz val="11"/>
      <color theme="1"/>
      <name val="宋体"/>
      <family val="2"/>
      <scheme val="minor"/>
    </font>
    <font>
      <strike/>
      <sz val="11"/>
      <color theme="1"/>
      <name val="宋体"/>
      <family val="3"/>
      <charset val="134"/>
      <scheme val="minor"/>
    </font>
    <font>
      <sz val="11"/>
      <color theme="9" tint="-0.249977111117893"/>
      <name val="宋体"/>
      <family val="2"/>
      <scheme val="minor"/>
    </font>
    <font>
      <sz val="11"/>
      <color theme="9" tint="-0.249977111117893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A7D00"/>
      <name val="宋体"/>
      <family val="2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  <font>
      <sz val="11"/>
      <color theme="0" tint="-0.249977111117893"/>
      <name val="宋体"/>
      <family val="2"/>
      <scheme val="minor"/>
    </font>
    <font>
      <b/>
      <sz val="11"/>
      <color theme="0" tint="-0.249977111117893"/>
      <name val="宋体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3" fillId="2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8" fillId="4" borderId="0" xfId="0" applyFont="1" applyFill="1" applyBorder="1" applyAlignment="1">
      <alignment vertical="center" wrapText="1"/>
    </xf>
    <xf numFmtId="0" fontId="8" fillId="4" borderId="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 wrapText="1"/>
    </xf>
    <xf numFmtId="0" fontId="14" fillId="0" borderId="2" xfId="0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quotePrefix="1"/>
    <xf numFmtId="0" fontId="8" fillId="4" borderId="0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20" fillId="5" borderId="3" xfId="0" applyFont="1" applyFill="1" applyBorder="1" applyAlignment="1" applyProtection="1">
      <alignment horizontal="center" vertical="center"/>
      <protection hidden="1"/>
    </xf>
    <xf numFmtId="0" fontId="22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21" fillId="5" borderId="3" xfId="0" applyFont="1" applyFill="1" applyBorder="1" applyAlignment="1" applyProtection="1">
      <alignment horizontal="center" vertical="top" wrapText="1"/>
      <protection hidden="1"/>
    </xf>
    <xf numFmtId="0" fontId="21" fillId="0" borderId="0" xfId="0" applyFont="1" applyFill="1" applyBorder="1" applyAlignment="1" applyProtection="1">
      <alignment horizontal="center" vertical="center"/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5" borderId="0" xfId="0" applyFont="1" applyFill="1" applyAlignment="1">
      <alignment vertical="center" wrapText="1"/>
    </xf>
    <xf numFmtId="0" fontId="1" fillId="5" borderId="0" xfId="0" applyFont="1" applyFill="1" applyAlignment="1">
      <alignment vertical="center"/>
    </xf>
    <xf numFmtId="0" fontId="20" fillId="6" borderId="3" xfId="0" applyFont="1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top" wrapText="1"/>
      <protection hidden="1"/>
    </xf>
    <xf numFmtId="0" fontId="22" fillId="6" borderId="0" xfId="0" applyFont="1" applyFill="1" applyBorder="1" applyAlignment="1" applyProtection="1">
      <alignment horizontal="center" vertical="center"/>
      <protection hidden="1"/>
    </xf>
    <xf numFmtId="0" fontId="0" fillId="6" borderId="0" xfId="0" applyFill="1" applyBorder="1" applyAlignment="1" applyProtection="1">
      <alignment horizontal="center" vertical="center"/>
      <protection hidden="1"/>
    </xf>
    <xf numFmtId="0" fontId="0" fillId="6" borderId="0" xfId="0" applyFill="1" applyBorder="1" applyAlignment="1">
      <alignment horizontal="center" vertical="center"/>
    </xf>
    <xf numFmtId="0" fontId="20" fillId="5" borderId="3" xfId="0" applyNumberFormat="1" applyFont="1" applyFill="1" applyBorder="1" applyAlignment="1" applyProtection="1">
      <alignment horizontal="center" vertical="center"/>
      <protection hidden="1"/>
    </xf>
    <xf numFmtId="0" fontId="0" fillId="5" borderId="3" xfId="0" applyNumberFormat="1" applyFill="1" applyBorder="1" applyAlignment="1" applyProtection="1">
      <alignment horizontal="center" vertical="top" wrapText="1"/>
      <protection hidden="1"/>
    </xf>
    <xf numFmtId="0" fontId="22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5" borderId="0" xfId="0" applyFill="1" applyAlignment="1">
      <alignment vertical="center"/>
    </xf>
    <xf numFmtId="0" fontId="7" fillId="0" borderId="0" xfId="0" applyFont="1" applyAlignment="1">
      <alignment horizontal="center" vertical="center" wrapText="1"/>
    </xf>
    <xf numFmtId="0" fontId="1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8" fillId="4" borderId="0" xfId="0" applyFont="1" applyFill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7" fillId="0" borderId="0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center" vertical="center" wrapText="1"/>
    </xf>
    <xf numFmtId="0" fontId="8" fillId="7" borderId="0" xfId="0" applyFont="1" applyFill="1" applyBorder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24" fillId="5" borderId="3" xfId="0" applyFont="1" applyFill="1" applyBorder="1" applyAlignment="1" applyProtection="1">
      <alignment horizontal="center" vertical="top" wrapText="1"/>
      <protection hidden="1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2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Alignment="1">
      <alignment vertical="center"/>
    </xf>
    <xf numFmtId="9" fontId="0" fillId="0" borderId="1" xfId="0" applyNumberFormat="1" applyFill="1" applyBorder="1"/>
    <xf numFmtId="0" fontId="22" fillId="0" borderId="0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</cellXfs>
  <cellStyles count="1">
    <cellStyle name="常规" xfId="0" builtinId="0"/>
  </cellStyles>
  <dxfs count="64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285750</xdr:rowOff>
        </xdr:from>
        <xdr:to>
          <xdr:col>11</xdr:col>
          <xdr:colOff>371475</xdr:colOff>
          <xdr:row>1</xdr:row>
          <xdr:rowOff>714375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</xdr:row>
          <xdr:rowOff>285750</xdr:rowOff>
        </xdr:from>
        <xdr:to>
          <xdr:col>15</xdr:col>
          <xdr:colOff>371475</xdr:colOff>
          <xdr:row>1</xdr:row>
          <xdr:rowOff>714375</xdr:rowOff>
        </xdr:to>
        <xdr:sp macro="" textlink="">
          <xdr:nvSpPr>
            <xdr:cNvPr id="82712" name="Button 11032" hidden="1">
              <a:extLst>
                <a:ext uri="{63B3BB69-23CF-44E3-9099-C40C66FF867C}">
                  <a14:compatExt spid="_x0000_s82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生成并导出json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O16" sqref="O16"/>
    </sheetView>
  </sheetViews>
  <sheetFormatPr defaultRowHeight="13.5"/>
  <cols>
    <col min="1" max="1" width="5.25" style="9" customWidth="1"/>
    <col min="2" max="3" width="7" style="9" customWidth="1"/>
    <col min="4" max="4" width="7" style="57" customWidth="1"/>
    <col min="5" max="5" width="8.125" style="9" customWidth="1"/>
    <col min="6" max="6" width="5.75" style="9" customWidth="1"/>
    <col min="7" max="7" width="6.25" style="9" customWidth="1"/>
    <col min="8" max="8" width="9" style="9" customWidth="1"/>
    <col min="9" max="9" width="4.25" style="9" customWidth="1"/>
    <col min="10" max="10" width="13" style="53" bestFit="1" customWidth="1"/>
    <col min="11" max="19" width="10" style="41" bestFit="1" customWidth="1"/>
    <col min="20" max="20" width="11.125" style="41" bestFit="1" customWidth="1"/>
    <col min="21" max="21" width="5.625" style="9" customWidth="1"/>
    <col min="22" max="22" width="6.875" style="9" customWidth="1"/>
    <col min="23" max="16384" width="9" style="9"/>
  </cols>
  <sheetData>
    <row r="1" spans="1:22">
      <c r="A1" s="32" t="s">
        <v>231</v>
      </c>
      <c r="B1" s="32" t="s">
        <v>258</v>
      </c>
      <c r="C1" s="32" t="s">
        <v>397</v>
      </c>
      <c r="D1" s="54" t="s">
        <v>398</v>
      </c>
      <c r="E1" s="32" t="s">
        <v>294</v>
      </c>
      <c r="F1" s="32" t="s">
        <v>295</v>
      </c>
      <c r="G1" s="32" t="s">
        <v>219</v>
      </c>
      <c r="H1" s="32" t="s">
        <v>369</v>
      </c>
      <c r="I1" s="32" t="s">
        <v>212</v>
      </c>
      <c r="J1" s="49" t="s">
        <v>213</v>
      </c>
      <c r="K1" s="32" t="s">
        <v>24</v>
      </c>
      <c r="L1" s="32" t="s">
        <v>25</v>
      </c>
      <c r="M1" s="32" t="s">
        <v>26</v>
      </c>
      <c r="N1" s="32" t="s">
        <v>391</v>
      </c>
      <c r="O1" s="32" t="s">
        <v>214</v>
      </c>
      <c r="P1" s="32" t="s">
        <v>392</v>
      </c>
      <c r="Q1" s="32" t="s">
        <v>215</v>
      </c>
      <c r="R1" s="32" t="s">
        <v>216</v>
      </c>
      <c r="S1" s="32" t="s">
        <v>217</v>
      </c>
      <c r="T1" s="32" t="s">
        <v>218</v>
      </c>
      <c r="U1" s="32" t="s">
        <v>393</v>
      </c>
      <c r="V1" s="32" t="s">
        <v>394</v>
      </c>
    </row>
    <row r="2" spans="1:22" s="46" customFormat="1" ht="61.5" customHeight="1">
      <c r="A2" s="45" t="s">
        <v>257</v>
      </c>
      <c r="B2" s="45"/>
      <c r="C2" s="45" t="s">
        <v>396</v>
      </c>
      <c r="D2" s="55" t="s">
        <v>399</v>
      </c>
      <c r="E2" s="36" t="s">
        <v>400</v>
      </c>
      <c r="F2" s="36" t="s">
        <v>401</v>
      </c>
      <c r="G2" s="36" t="s">
        <v>266</v>
      </c>
      <c r="H2" s="36" t="s">
        <v>437</v>
      </c>
      <c r="I2" s="45"/>
      <c r="J2" s="50"/>
      <c r="K2" s="45"/>
      <c r="L2" s="45"/>
      <c r="M2" s="71"/>
      <c r="N2" s="45"/>
      <c r="O2" s="45"/>
      <c r="P2" s="45"/>
      <c r="Q2" s="45"/>
      <c r="R2" s="45"/>
      <c r="S2" s="45"/>
      <c r="T2" s="45"/>
      <c r="U2" s="36" t="s">
        <v>403</v>
      </c>
      <c r="V2" s="36" t="s">
        <v>262</v>
      </c>
    </row>
    <row r="3" spans="1:22" s="42" customFormat="1">
      <c r="A3" s="33" t="s">
        <v>220</v>
      </c>
      <c r="B3" s="33" t="s">
        <v>259</v>
      </c>
      <c r="C3" s="33"/>
      <c r="D3" s="56" t="s">
        <v>221</v>
      </c>
      <c r="E3" s="33" t="s">
        <v>375</v>
      </c>
      <c r="F3" s="33" t="s">
        <v>376</v>
      </c>
      <c r="G3" s="33" t="s">
        <v>573</v>
      </c>
      <c r="H3" s="33" t="s">
        <v>371</v>
      </c>
      <c r="I3" s="33" t="s">
        <v>261</v>
      </c>
      <c r="J3" s="51"/>
      <c r="K3" s="33" t="s">
        <v>260</v>
      </c>
      <c r="L3" s="33" t="s">
        <v>222</v>
      </c>
      <c r="M3" s="33" t="s">
        <v>223</v>
      </c>
      <c r="N3" s="33" t="s">
        <v>224</v>
      </c>
      <c r="O3" s="33" t="s">
        <v>225</v>
      </c>
      <c r="P3" s="33" t="s">
        <v>226</v>
      </c>
      <c r="Q3" s="33" t="s">
        <v>227</v>
      </c>
      <c r="R3" s="33" t="s">
        <v>228</v>
      </c>
      <c r="S3" s="33" t="s">
        <v>229</v>
      </c>
      <c r="T3" s="33" t="s">
        <v>230</v>
      </c>
      <c r="U3" s="33" t="s">
        <v>265</v>
      </c>
      <c r="V3" s="33" t="s">
        <v>264</v>
      </c>
    </row>
    <row r="4" spans="1:22" s="42" customFormat="1">
      <c r="A4" s="33" t="s">
        <v>390</v>
      </c>
      <c r="B4" s="33" t="s">
        <v>256</v>
      </c>
      <c r="C4" s="33"/>
      <c r="D4" s="56" t="s">
        <v>211</v>
      </c>
      <c r="E4" s="33" t="s">
        <v>296</v>
      </c>
      <c r="F4" s="33" t="s">
        <v>709</v>
      </c>
      <c r="G4" s="33" t="s">
        <v>209</v>
      </c>
      <c r="H4" s="33" t="s">
        <v>372</v>
      </c>
      <c r="I4" s="33" t="s">
        <v>209</v>
      </c>
      <c r="J4" s="51"/>
      <c r="K4" s="33" t="s">
        <v>210</v>
      </c>
      <c r="L4" s="33" t="s">
        <v>210</v>
      </c>
      <c r="M4" s="33" t="s">
        <v>210</v>
      </c>
      <c r="N4" s="33" t="s">
        <v>210</v>
      </c>
      <c r="O4" s="33" t="s">
        <v>210</v>
      </c>
      <c r="P4" s="33" t="s">
        <v>210</v>
      </c>
      <c r="Q4" s="33" t="s">
        <v>210</v>
      </c>
      <c r="R4" s="33" t="s">
        <v>210</v>
      </c>
      <c r="S4" s="33" t="s">
        <v>210</v>
      </c>
      <c r="T4" s="33" t="s">
        <v>210</v>
      </c>
      <c r="U4" s="33" t="s">
        <v>209</v>
      </c>
      <c r="V4" s="33" t="s">
        <v>233</v>
      </c>
    </row>
    <row r="5" spans="1:22" ht="22.5" customHeight="1">
      <c r="A5" s="34">
        <f>ROW()</f>
        <v>5</v>
      </c>
      <c r="B5" s="35">
        <v>10001</v>
      </c>
      <c r="C5" s="34"/>
      <c r="D5" s="40">
        <v>0</v>
      </c>
      <c r="E5" s="35">
        <v>0</v>
      </c>
      <c r="F5" s="35"/>
      <c r="G5" s="35"/>
      <c r="H5" s="43"/>
      <c r="I5" s="34">
        <f>IF(ISBLANK(J5),"",VLOOKUP(J5,定义!D:E,2,FALSE))</f>
        <v>11</v>
      </c>
      <c r="J5" s="52" t="s">
        <v>267</v>
      </c>
      <c r="K5" s="37" t="s">
        <v>721</v>
      </c>
      <c r="L5" s="37">
        <v>0</v>
      </c>
      <c r="M5" s="37">
        <v>0.1</v>
      </c>
      <c r="N5" s="37"/>
      <c r="O5" s="37"/>
      <c r="P5" s="37"/>
      <c r="Q5" s="37"/>
      <c r="R5" s="37"/>
      <c r="S5" s="37"/>
      <c r="T5" s="37"/>
      <c r="U5" s="38">
        <v>0</v>
      </c>
      <c r="V5" s="39">
        <v>0</v>
      </c>
    </row>
    <row r="6" spans="1:22" ht="22.5" customHeight="1">
      <c r="A6" s="34">
        <f>ROW()</f>
        <v>6</v>
      </c>
      <c r="B6" s="35">
        <v>10001</v>
      </c>
      <c r="C6" s="34"/>
      <c r="D6" s="40">
        <v>0.14000000000000001</v>
      </c>
      <c r="E6" s="35">
        <v>1</v>
      </c>
      <c r="F6" s="35"/>
      <c r="G6" s="34"/>
      <c r="H6" s="43" t="s">
        <v>370</v>
      </c>
      <c r="I6" s="34">
        <f>IF(ISBLANK(J6),"",VLOOKUP(J6,定义!D:E,2,FALSE))</f>
        <v>31</v>
      </c>
      <c r="J6" s="52" t="s">
        <v>362</v>
      </c>
      <c r="K6" s="37"/>
      <c r="L6" s="37">
        <v>200</v>
      </c>
      <c r="M6" s="37">
        <v>-10</v>
      </c>
      <c r="N6" s="37">
        <v>300</v>
      </c>
      <c r="O6" s="37">
        <v>-70</v>
      </c>
      <c r="P6" s="37">
        <v>70</v>
      </c>
      <c r="Q6" s="37"/>
      <c r="R6" s="37"/>
      <c r="S6" s="37"/>
      <c r="T6" s="37"/>
      <c r="U6" s="38">
        <v>0</v>
      </c>
      <c r="V6" s="39">
        <v>0</v>
      </c>
    </row>
    <row r="7" spans="1:22" ht="22.5" customHeight="1">
      <c r="A7" s="34">
        <f>ROW()</f>
        <v>7</v>
      </c>
      <c r="B7" s="35">
        <v>10001</v>
      </c>
      <c r="C7" s="34"/>
      <c r="D7" s="40">
        <v>0.14000000000000001</v>
      </c>
      <c r="E7" s="35">
        <v>2</v>
      </c>
      <c r="F7" s="35"/>
      <c r="G7" s="34"/>
      <c r="H7" s="43" t="s">
        <v>416</v>
      </c>
      <c r="I7" s="34">
        <f>IF(ISBLANK(J7),"",VLOOKUP(J7,定义!D:E,2,FALSE))</f>
        <v>31</v>
      </c>
      <c r="J7" s="52" t="s">
        <v>362</v>
      </c>
      <c r="K7" s="37">
        <v>0</v>
      </c>
      <c r="L7" s="37">
        <v>100</v>
      </c>
      <c r="M7" s="37">
        <v>-10</v>
      </c>
      <c r="N7" s="37">
        <v>300</v>
      </c>
      <c r="O7" s="37">
        <v>-70</v>
      </c>
      <c r="P7" s="37">
        <v>70</v>
      </c>
      <c r="Q7" s="37"/>
      <c r="R7" s="37"/>
      <c r="S7" s="37"/>
      <c r="T7" s="37"/>
      <c r="U7" s="38">
        <v>0</v>
      </c>
      <c r="V7" s="39">
        <v>0</v>
      </c>
    </row>
    <row r="8" spans="1:22" ht="22.5" customHeight="1">
      <c r="A8" s="34">
        <f>ROW()</f>
        <v>8</v>
      </c>
      <c r="B8" s="35">
        <v>10001</v>
      </c>
      <c r="C8" s="34"/>
      <c r="D8" s="40">
        <v>0.14000000000000001</v>
      </c>
      <c r="E8" s="35">
        <v>3</v>
      </c>
      <c r="F8" s="35"/>
      <c r="G8" s="34"/>
      <c r="H8" s="43" t="s">
        <v>370</v>
      </c>
      <c r="I8" s="34">
        <f>IF(ISBLANK(J8),"",VLOOKUP(J8,定义!D:E,2,FALSE))</f>
        <v>31</v>
      </c>
      <c r="J8" s="52" t="s">
        <v>362</v>
      </c>
      <c r="K8" s="37">
        <v>0</v>
      </c>
      <c r="L8" s="37">
        <v>50</v>
      </c>
      <c r="M8" s="37">
        <v>-10</v>
      </c>
      <c r="N8" s="37">
        <v>300</v>
      </c>
      <c r="O8" s="37">
        <v>-70</v>
      </c>
      <c r="P8" s="37">
        <v>70</v>
      </c>
      <c r="Q8" s="37"/>
      <c r="R8" s="37"/>
      <c r="S8" s="37"/>
      <c r="T8" s="37"/>
      <c r="U8" s="38">
        <v>0</v>
      </c>
      <c r="V8" s="39">
        <v>0</v>
      </c>
    </row>
    <row r="9" spans="1:22" ht="22.5" customHeight="1">
      <c r="A9" s="34">
        <f>ROW()</f>
        <v>9</v>
      </c>
      <c r="B9" s="35">
        <v>10001</v>
      </c>
      <c r="C9" s="34"/>
      <c r="D9" s="40">
        <v>0.14000000000000001</v>
      </c>
      <c r="E9" s="35">
        <v>1</v>
      </c>
      <c r="F9" s="35"/>
      <c r="G9" s="34"/>
      <c r="H9" s="43" t="s">
        <v>418</v>
      </c>
      <c r="I9" s="34">
        <f>IF(ISBLANK(J9),"",VLOOKUP(J9,定义!D:E,2,FALSE))</f>
        <v>1</v>
      </c>
      <c r="J9" s="52" t="s">
        <v>363</v>
      </c>
      <c r="K9" s="37">
        <v>300</v>
      </c>
      <c r="L9" s="37">
        <v>1</v>
      </c>
      <c r="M9" s="37"/>
      <c r="N9" s="37"/>
      <c r="O9" s="37"/>
      <c r="P9" s="37"/>
      <c r="Q9" s="37"/>
      <c r="R9" s="37"/>
      <c r="S9" s="37"/>
      <c r="T9" s="37"/>
      <c r="U9" s="38">
        <v>0</v>
      </c>
      <c r="V9" s="39">
        <v>0</v>
      </c>
    </row>
    <row r="10" spans="1:22" ht="22.5" customHeight="1">
      <c r="A10" s="34">
        <f>ROW()</f>
        <v>10</v>
      </c>
      <c r="B10" s="35">
        <v>10001</v>
      </c>
      <c r="C10" s="34"/>
      <c r="D10" s="40">
        <v>0.14000000000000001</v>
      </c>
      <c r="E10" s="35">
        <v>1</v>
      </c>
      <c r="F10" s="35"/>
      <c r="G10" s="34"/>
      <c r="H10" s="43" t="s">
        <v>415</v>
      </c>
      <c r="I10" s="34">
        <f>IF(ISBLANK(J10),"",VLOOKUP(J10,定义!D:E,2,FALSE))</f>
        <v>9</v>
      </c>
      <c r="J10" s="52" t="s">
        <v>380</v>
      </c>
      <c r="K10" s="37">
        <v>20</v>
      </c>
      <c r="L10" s="37">
        <v>20</v>
      </c>
      <c r="M10" s="37">
        <v>0</v>
      </c>
      <c r="N10" s="37">
        <v>0.2</v>
      </c>
      <c r="O10" s="37">
        <v>160</v>
      </c>
      <c r="P10" s="37"/>
      <c r="Q10" s="37"/>
      <c r="R10" s="37"/>
      <c r="S10" s="37"/>
      <c r="T10" s="37"/>
      <c r="U10" s="38"/>
      <c r="V10" s="39"/>
    </row>
    <row r="11" spans="1:22" ht="22.5" customHeight="1">
      <c r="A11" s="34" t="s">
        <v>374</v>
      </c>
      <c r="B11" s="35">
        <v>10001</v>
      </c>
      <c r="C11" s="34"/>
      <c r="D11" s="40">
        <v>0.14000000000000001</v>
      </c>
      <c r="E11" s="35">
        <v>1</v>
      </c>
      <c r="F11" s="35"/>
      <c r="G11" s="34"/>
      <c r="H11" s="43" t="s">
        <v>418</v>
      </c>
      <c r="I11" s="34">
        <f>IF(ISBLANK(J11),"",VLOOKUP(J11,定义!D:E,2,FALSE))</f>
        <v>2</v>
      </c>
      <c r="J11" s="52" t="s">
        <v>381</v>
      </c>
      <c r="K11" s="37">
        <v>0.05</v>
      </c>
      <c r="L11" s="37">
        <v>0.01</v>
      </c>
      <c r="M11" s="37"/>
      <c r="N11" s="37"/>
      <c r="O11" s="37"/>
      <c r="P11" s="37"/>
      <c r="Q11" s="37"/>
      <c r="R11" s="37"/>
      <c r="S11" s="37"/>
      <c r="T11" s="37"/>
      <c r="U11" s="38"/>
      <c r="V11" s="39"/>
    </row>
    <row r="12" spans="1:22" ht="22.5" customHeight="1">
      <c r="A12" s="34" t="s">
        <v>374</v>
      </c>
      <c r="B12" s="35">
        <v>10001</v>
      </c>
      <c r="C12" s="34"/>
      <c r="D12" s="40">
        <v>0.14000000000000001</v>
      </c>
      <c r="E12" s="35">
        <v>1</v>
      </c>
      <c r="F12" s="35"/>
      <c r="G12" s="34"/>
      <c r="H12" s="43" t="s">
        <v>419</v>
      </c>
      <c r="I12" s="34">
        <f>IF(ISBLANK(J12),"",VLOOKUP(J12,定义!D:E,2,FALSE))</f>
        <v>6</v>
      </c>
      <c r="J12" s="52" t="s">
        <v>382</v>
      </c>
      <c r="K12" s="37">
        <v>0.1</v>
      </c>
      <c r="L12" s="37"/>
      <c r="M12" s="37"/>
      <c r="N12" s="37"/>
      <c r="O12" s="37"/>
      <c r="P12" s="37"/>
      <c r="Q12" s="37"/>
      <c r="R12" s="37"/>
      <c r="S12" s="37"/>
      <c r="T12" s="37"/>
      <c r="U12" s="38"/>
      <c r="V12" s="39"/>
    </row>
    <row r="13" spans="1:22" ht="22.5" customHeight="1">
      <c r="A13" s="34">
        <f>ROW()</f>
        <v>13</v>
      </c>
      <c r="B13" s="35">
        <v>10001</v>
      </c>
      <c r="C13" s="34"/>
      <c r="D13" s="40">
        <v>0.14000000000000001</v>
      </c>
      <c r="E13" s="35">
        <v>1</v>
      </c>
      <c r="F13" s="35"/>
      <c r="G13" s="34"/>
      <c r="H13" s="43" t="s">
        <v>420</v>
      </c>
      <c r="I13" s="34">
        <f>IF(ISBLANK(J13),"",VLOOKUP(J13,定义!D:E,2,FALSE))</f>
        <v>7</v>
      </c>
      <c r="J13" s="52" t="s">
        <v>562</v>
      </c>
      <c r="K13" s="37">
        <v>40</v>
      </c>
      <c r="L13" s="37">
        <v>0</v>
      </c>
      <c r="M13" s="37">
        <v>0.1</v>
      </c>
      <c r="N13" s="37"/>
      <c r="O13" s="37"/>
      <c r="P13" s="37"/>
      <c r="Q13" s="37"/>
      <c r="R13" s="37"/>
      <c r="S13" s="37"/>
      <c r="T13" s="37"/>
      <c r="U13" s="38"/>
      <c r="V13" s="39"/>
    </row>
    <row r="14" spans="1:22" ht="22.5" customHeight="1">
      <c r="A14" s="34" t="s">
        <v>374</v>
      </c>
      <c r="B14" s="35">
        <v>10001</v>
      </c>
      <c r="C14" s="34"/>
      <c r="D14" s="40">
        <v>0.14000000000000001</v>
      </c>
      <c r="E14" s="35">
        <v>1</v>
      </c>
      <c r="F14" s="35"/>
      <c r="G14" s="34"/>
      <c r="H14" s="43" t="s">
        <v>418</v>
      </c>
      <c r="I14" s="34">
        <f>IF(ISBLANK(J14),"",VLOOKUP(J14,定义!D:E,2,FALSE))</f>
        <v>3</v>
      </c>
      <c r="J14" s="52" t="s">
        <v>386</v>
      </c>
      <c r="K14" s="37" t="s">
        <v>414</v>
      </c>
      <c r="L14" s="37"/>
      <c r="M14" s="37">
        <v>0</v>
      </c>
      <c r="N14" s="37">
        <v>0</v>
      </c>
      <c r="O14" s="37"/>
      <c r="P14" s="37"/>
      <c r="Q14" s="37"/>
      <c r="R14" s="37"/>
      <c r="S14" s="37"/>
      <c r="T14" s="37"/>
      <c r="U14" s="38"/>
      <c r="V14" s="39"/>
    </row>
    <row r="15" spans="1:22" ht="22.5" customHeight="1">
      <c r="A15" s="34">
        <f>ROW()</f>
        <v>15</v>
      </c>
      <c r="B15" s="35">
        <v>10001</v>
      </c>
      <c r="C15" s="34"/>
      <c r="D15" s="40">
        <v>0.28000000000000003</v>
      </c>
      <c r="E15" s="35"/>
      <c r="F15" s="35"/>
      <c r="G15" s="34"/>
      <c r="H15" s="43"/>
      <c r="I15" s="34">
        <f>IF(ISBLANK(J15),"",VLOOKUP(J15,定义!D:E,2,FALSE))</f>
        <v>18</v>
      </c>
      <c r="J15" s="52" t="s">
        <v>395</v>
      </c>
      <c r="K15" s="37">
        <v>1</v>
      </c>
      <c r="L15" s="37">
        <v>0</v>
      </c>
      <c r="M15" s="37">
        <v>2</v>
      </c>
      <c r="N15" s="37">
        <v>2</v>
      </c>
      <c r="O15" s="37"/>
      <c r="P15" s="37"/>
      <c r="Q15" s="37"/>
      <c r="R15" s="37"/>
      <c r="S15" s="37"/>
      <c r="T15" s="37"/>
      <c r="U15" s="38">
        <v>0</v>
      </c>
      <c r="V15" s="39">
        <v>0</v>
      </c>
    </row>
    <row r="16" spans="1:22" ht="22.5" customHeight="1">
      <c r="A16" s="34" t="s">
        <v>383</v>
      </c>
      <c r="B16" s="35">
        <v>10001</v>
      </c>
      <c r="C16" s="34"/>
      <c r="D16" s="40">
        <v>0.14000000000000001</v>
      </c>
      <c r="E16" s="35">
        <v>1</v>
      </c>
      <c r="F16" s="35"/>
      <c r="G16" s="34"/>
      <c r="H16" s="43" t="s">
        <v>419</v>
      </c>
      <c r="I16" s="34">
        <f>IF(ISBLANK(J16),"",VLOOKUP(J16,定义!D:E,2,FALSE))</f>
        <v>5</v>
      </c>
      <c r="J16" s="52" t="s">
        <v>385</v>
      </c>
      <c r="K16" s="37">
        <v>1</v>
      </c>
      <c r="L16" s="37">
        <v>0</v>
      </c>
      <c r="M16" s="37"/>
      <c r="N16" s="37"/>
      <c r="O16" s="37"/>
      <c r="P16" s="37"/>
      <c r="Q16" s="37"/>
      <c r="R16" s="37"/>
      <c r="S16" s="37"/>
      <c r="T16" s="37"/>
      <c r="U16" s="38"/>
      <c r="V16" s="39"/>
    </row>
    <row r="17" spans="1:22" s="41" customFormat="1" ht="22.5" customHeight="1">
      <c r="A17" s="35" t="s">
        <v>374</v>
      </c>
      <c r="B17" s="35"/>
      <c r="C17" s="35"/>
      <c r="D17" s="40"/>
      <c r="E17" s="35"/>
      <c r="F17" s="35"/>
      <c r="G17" s="35"/>
      <c r="H17" s="44"/>
      <c r="I17" s="34" t="str">
        <f>IF(ISBLANK(J17),"",VLOOKUP(J17,定义!D:E,2,FALSE))</f>
        <v/>
      </c>
      <c r="J17" s="52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40"/>
    </row>
    <row r="18" spans="1:22" ht="22.5" customHeight="1">
      <c r="A18" s="34">
        <f>ROW()</f>
        <v>18</v>
      </c>
      <c r="B18" s="35">
        <v>20001</v>
      </c>
      <c r="C18" s="34"/>
      <c r="D18" s="40">
        <v>0</v>
      </c>
      <c r="E18" s="35">
        <v>0</v>
      </c>
      <c r="F18" s="35">
        <v>0</v>
      </c>
      <c r="G18" s="34">
        <v>0</v>
      </c>
      <c r="H18" s="43"/>
      <c r="I18" s="34">
        <f>IF(ISBLANK(J18),"",VLOOKUP(J18,定义!D:E,2,FALSE))</f>
        <v>11</v>
      </c>
      <c r="J18" s="52" t="s">
        <v>267</v>
      </c>
      <c r="K18" s="37">
        <v>15</v>
      </c>
      <c r="L18" s="37">
        <v>0</v>
      </c>
      <c r="M18" s="37">
        <v>0.1</v>
      </c>
      <c r="N18" s="37"/>
      <c r="O18" s="37"/>
      <c r="P18" s="37"/>
      <c r="Q18" s="37"/>
      <c r="R18" s="37"/>
      <c r="S18" s="37"/>
      <c r="T18" s="37"/>
      <c r="U18" s="38">
        <v>0</v>
      </c>
      <c r="V18" s="39">
        <v>0</v>
      </c>
    </row>
    <row r="19" spans="1:22" ht="22.5" customHeight="1">
      <c r="A19" s="34">
        <f>ROW()</f>
        <v>19</v>
      </c>
      <c r="B19" s="35">
        <v>20001</v>
      </c>
      <c r="C19" s="34"/>
      <c r="D19" s="40">
        <v>0.14000000000000001</v>
      </c>
      <c r="E19" s="35">
        <v>1</v>
      </c>
      <c r="F19" s="35"/>
      <c r="G19" s="34"/>
      <c r="H19" s="43" t="s">
        <v>370</v>
      </c>
      <c r="I19" s="34">
        <f>IF(ISBLANK(J19),"",VLOOKUP(J19,定义!D:E,2,FALSE))</f>
        <v>31</v>
      </c>
      <c r="J19" s="52" t="s">
        <v>362</v>
      </c>
      <c r="K19" s="37">
        <v>0</v>
      </c>
      <c r="L19" s="37">
        <v>200</v>
      </c>
      <c r="M19" s="37">
        <v>-10</v>
      </c>
      <c r="N19" s="37">
        <v>300</v>
      </c>
      <c r="O19" s="37">
        <v>-70</v>
      </c>
      <c r="P19" s="37">
        <v>70</v>
      </c>
      <c r="Q19" s="37"/>
      <c r="R19" s="37"/>
      <c r="S19" s="37"/>
      <c r="T19" s="37"/>
      <c r="U19" s="38">
        <v>0</v>
      </c>
      <c r="V19" s="39">
        <v>0</v>
      </c>
    </row>
    <row r="20" spans="1:22" ht="22.5" customHeight="1">
      <c r="A20" s="34" t="s">
        <v>374</v>
      </c>
      <c r="B20" s="35">
        <v>20001</v>
      </c>
      <c r="C20" s="34"/>
      <c r="D20" s="40">
        <v>0.14000000000000001</v>
      </c>
      <c r="E20" s="35">
        <v>1</v>
      </c>
      <c r="F20" s="35"/>
      <c r="G20" s="34"/>
      <c r="H20" s="43" t="s">
        <v>418</v>
      </c>
      <c r="I20" s="34">
        <f>IF(ISBLANK(J20),"",VLOOKUP(J20,定义!D:E,2,FALSE))</f>
        <v>2</v>
      </c>
      <c r="J20" s="52" t="s">
        <v>563</v>
      </c>
      <c r="K20" s="37">
        <v>0.05</v>
      </c>
      <c r="L20" s="37">
        <v>1</v>
      </c>
      <c r="M20" s="37"/>
      <c r="N20" s="37"/>
      <c r="O20" s="37"/>
      <c r="P20" s="37"/>
      <c r="Q20" s="37"/>
      <c r="R20" s="37"/>
      <c r="S20" s="37"/>
      <c r="T20" s="37"/>
      <c r="U20" s="38"/>
      <c r="V20" s="39"/>
    </row>
    <row r="21" spans="1:22" ht="22.5" customHeight="1">
      <c r="A21" s="34" t="s">
        <v>374</v>
      </c>
      <c r="B21" s="35">
        <v>20001</v>
      </c>
      <c r="C21" s="34"/>
      <c r="D21" s="40">
        <v>0.14000000000000001</v>
      </c>
      <c r="E21" s="35">
        <v>1</v>
      </c>
      <c r="F21" s="35"/>
      <c r="G21" s="34"/>
      <c r="H21" s="43" t="s">
        <v>419</v>
      </c>
      <c r="I21" s="34">
        <f>IF(ISBLANK(J21),"",VLOOKUP(J21,定义!D:E,2,FALSE))</f>
        <v>6</v>
      </c>
      <c r="J21" s="52" t="s">
        <v>382</v>
      </c>
      <c r="K21" s="37">
        <v>0.1</v>
      </c>
      <c r="L21" s="37"/>
      <c r="M21" s="37"/>
      <c r="N21" s="37"/>
      <c r="O21" s="37"/>
      <c r="P21" s="37"/>
      <c r="Q21" s="37"/>
      <c r="R21" s="37"/>
      <c r="S21" s="37"/>
      <c r="T21" s="37"/>
      <c r="U21" s="38"/>
      <c r="V21" s="39"/>
    </row>
    <row r="22" spans="1:22" ht="22.5" customHeight="1">
      <c r="A22" s="34">
        <f>ROW()</f>
        <v>22</v>
      </c>
      <c r="B22" s="35">
        <v>20001</v>
      </c>
      <c r="C22" s="34"/>
      <c r="D22" s="40">
        <v>0.14000000000000001</v>
      </c>
      <c r="E22" s="35">
        <v>1</v>
      </c>
      <c r="F22" s="35"/>
      <c r="G22" s="34"/>
      <c r="H22" s="43" t="s">
        <v>419</v>
      </c>
      <c r="I22" s="34">
        <f>IF(ISBLANK(J22),"",VLOOKUP(J22,定义!D:E,2,FALSE))</f>
        <v>4</v>
      </c>
      <c r="J22" s="52" t="s">
        <v>425</v>
      </c>
      <c r="K22" s="37" t="s">
        <v>426</v>
      </c>
      <c r="L22" s="37">
        <v>0</v>
      </c>
      <c r="M22" s="37"/>
      <c r="N22" s="37"/>
      <c r="O22" s="37"/>
      <c r="P22" s="37"/>
      <c r="Q22" s="37"/>
      <c r="R22" s="37"/>
      <c r="S22" s="37"/>
      <c r="T22" s="37"/>
      <c r="U22" s="38"/>
      <c r="V22" s="39"/>
    </row>
    <row r="23" spans="1:22" ht="22.5" customHeight="1">
      <c r="A23" s="34">
        <f>ROW()</f>
        <v>23</v>
      </c>
      <c r="B23" s="35">
        <v>20001</v>
      </c>
      <c r="C23" s="34"/>
      <c r="D23" s="40">
        <v>0.14000000000000001</v>
      </c>
      <c r="E23" s="35">
        <v>1</v>
      </c>
      <c r="F23" s="35"/>
      <c r="G23" s="34"/>
      <c r="H23" s="43" t="s">
        <v>418</v>
      </c>
      <c r="I23" s="34">
        <f>IF(ISBLANK(J23),"",VLOOKUP(J23,定义!D:E,2,FALSE))</f>
        <v>1</v>
      </c>
      <c r="J23" s="52" t="s">
        <v>363</v>
      </c>
      <c r="K23" s="37">
        <v>300</v>
      </c>
      <c r="L23" s="37">
        <v>1</v>
      </c>
      <c r="M23" s="37"/>
      <c r="N23" s="37"/>
      <c r="O23" s="37"/>
      <c r="P23" s="37"/>
      <c r="Q23" s="37"/>
      <c r="R23" s="37"/>
      <c r="S23" s="37"/>
      <c r="T23" s="37"/>
      <c r="U23" s="38">
        <v>0</v>
      </c>
      <c r="V23" s="39">
        <v>0</v>
      </c>
    </row>
    <row r="24" spans="1:22" ht="22.5" customHeight="1">
      <c r="A24" s="34">
        <f>ROW()</f>
        <v>24</v>
      </c>
      <c r="B24" s="35">
        <v>20001</v>
      </c>
      <c r="C24" s="34"/>
      <c r="D24" s="40">
        <v>0.14000000000000001</v>
      </c>
      <c r="E24" s="35">
        <v>1</v>
      </c>
      <c r="F24" s="35"/>
      <c r="G24" s="34"/>
      <c r="H24" s="43" t="s">
        <v>419</v>
      </c>
      <c r="I24" s="34">
        <f>IF(ISBLANK(J24),"",VLOOKUP(J24,定义!D:E,2,FALSE))</f>
        <v>9</v>
      </c>
      <c r="J24" s="52" t="s">
        <v>380</v>
      </c>
      <c r="K24" s="37">
        <v>20</v>
      </c>
      <c r="L24" s="37">
        <v>20</v>
      </c>
      <c r="M24" s="37">
        <v>0</v>
      </c>
      <c r="N24" s="37">
        <v>0.2</v>
      </c>
      <c r="O24" s="37">
        <v>160</v>
      </c>
      <c r="P24" s="37"/>
      <c r="Q24" s="37"/>
      <c r="R24" s="37"/>
      <c r="S24" s="37"/>
      <c r="T24" s="37"/>
      <c r="U24" s="38"/>
      <c r="V24" s="39"/>
    </row>
    <row r="25" spans="1:22" ht="22.5" customHeight="1">
      <c r="A25" s="34">
        <f>ROW()</f>
        <v>25</v>
      </c>
      <c r="B25" s="35">
        <v>20001</v>
      </c>
      <c r="C25" s="34"/>
      <c r="D25" s="40">
        <v>0.14000000000000001</v>
      </c>
      <c r="E25" s="35">
        <v>1</v>
      </c>
      <c r="F25" s="35"/>
      <c r="G25" s="34"/>
      <c r="H25" s="43" t="s">
        <v>422</v>
      </c>
      <c r="I25" s="34">
        <f>IF(ISBLANK(J25),"",VLOOKUP(J25,定义!D:E,2,FALSE))</f>
        <v>7</v>
      </c>
      <c r="J25" s="52" t="s">
        <v>402</v>
      </c>
      <c r="K25" s="37">
        <v>40</v>
      </c>
      <c r="L25" s="37">
        <v>0</v>
      </c>
      <c r="M25" s="37">
        <v>0.1</v>
      </c>
      <c r="N25" s="37"/>
      <c r="O25" s="37"/>
      <c r="P25" s="37"/>
      <c r="Q25" s="37"/>
      <c r="R25" s="37"/>
      <c r="S25" s="37"/>
      <c r="T25" s="37"/>
      <c r="U25" s="38"/>
      <c r="V25" s="39"/>
    </row>
    <row r="26" spans="1:22" ht="22.5" customHeight="1">
      <c r="A26" s="34">
        <f>ROW()</f>
        <v>26</v>
      </c>
      <c r="B26" s="35">
        <v>20001</v>
      </c>
      <c r="C26" s="34"/>
      <c r="D26" s="40">
        <v>0.3</v>
      </c>
      <c r="E26" s="35"/>
      <c r="F26" s="35"/>
      <c r="G26" s="34"/>
      <c r="H26" s="43"/>
      <c r="I26" s="34">
        <f>IF(ISBLANK(J26),"",VLOOKUP(J26,定义!D:E,2,FALSE))</f>
        <v>18</v>
      </c>
      <c r="J26" s="52" t="s">
        <v>361</v>
      </c>
      <c r="K26" s="37">
        <v>1</v>
      </c>
      <c r="L26" s="37">
        <v>0</v>
      </c>
      <c r="M26" s="37">
        <v>2</v>
      </c>
      <c r="N26" s="37">
        <v>3</v>
      </c>
      <c r="O26" s="37"/>
      <c r="P26" s="37"/>
      <c r="Q26" s="37"/>
      <c r="R26" s="37"/>
      <c r="S26" s="37"/>
      <c r="T26" s="37"/>
      <c r="U26" s="38">
        <v>0</v>
      </c>
      <c r="V26" s="39">
        <v>0</v>
      </c>
    </row>
    <row r="27" spans="1:22" s="41" customFormat="1" ht="22.5" customHeight="1">
      <c r="A27" s="35" t="s">
        <v>374</v>
      </c>
      <c r="B27" s="35"/>
      <c r="C27" s="35"/>
      <c r="D27" s="40"/>
      <c r="E27" s="35"/>
      <c r="F27" s="35"/>
      <c r="G27" s="35"/>
      <c r="H27" s="44"/>
      <c r="I27" s="34" t="str">
        <f>IF(ISBLANK(J27),"",VLOOKUP(J27,定义!D:E,2,FALSE))</f>
        <v/>
      </c>
      <c r="J27" s="52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40"/>
    </row>
    <row r="28" spans="1:22" ht="22.5" customHeight="1">
      <c r="A28" s="34">
        <f>ROW()</f>
        <v>28</v>
      </c>
      <c r="B28" s="35">
        <v>30001</v>
      </c>
      <c r="C28" s="34"/>
      <c r="D28" s="40">
        <v>0</v>
      </c>
      <c r="E28" s="35">
        <v>0</v>
      </c>
      <c r="F28" s="35">
        <v>0</v>
      </c>
      <c r="G28" s="34">
        <v>0</v>
      </c>
      <c r="H28" s="43"/>
      <c r="I28" s="34">
        <f>IF(ISBLANK(J28),"",VLOOKUP(J28,定义!D:E,2,FALSE))</f>
        <v>11</v>
      </c>
      <c r="J28" s="52" t="s">
        <v>267</v>
      </c>
      <c r="K28" s="37">
        <v>30</v>
      </c>
      <c r="L28" s="37">
        <v>0</v>
      </c>
      <c r="M28" s="37">
        <v>0.1</v>
      </c>
      <c r="N28" s="37"/>
      <c r="O28" s="37"/>
      <c r="P28" s="37"/>
      <c r="Q28" s="37"/>
      <c r="R28" s="37"/>
      <c r="S28" s="37"/>
      <c r="T28" s="37"/>
      <c r="U28" s="38">
        <v>0</v>
      </c>
      <c r="V28" s="39">
        <v>0</v>
      </c>
    </row>
    <row r="29" spans="1:22" ht="22.5" customHeight="1">
      <c r="A29" s="34">
        <f>ROW()</f>
        <v>29</v>
      </c>
      <c r="B29" s="35">
        <v>30001</v>
      </c>
      <c r="C29" s="34"/>
      <c r="D29" s="40">
        <v>0.16</v>
      </c>
      <c r="E29" s="35">
        <v>1</v>
      </c>
      <c r="F29" s="35"/>
      <c r="G29" s="34"/>
      <c r="H29" s="43" t="s">
        <v>370</v>
      </c>
      <c r="I29" s="34">
        <f>IF(ISBLANK(J29),"",VLOOKUP(J29,定义!D:E,2,FALSE))</f>
        <v>31</v>
      </c>
      <c r="J29" s="52" t="s">
        <v>362</v>
      </c>
      <c r="K29" s="37">
        <v>0</v>
      </c>
      <c r="L29" s="37">
        <v>200</v>
      </c>
      <c r="M29" s="37">
        <v>-10</v>
      </c>
      <c r="N29" s="37">
        <v>300</v>
      </c>
      <c r="O29" s="37">
        <v>-70</v>
      </c>
      <c r="P29" s="37">
        <v>70</v>
      </c>
      <c r="Q29" s="37"/>
      <c r="R29" s="37"/>
      <c r="S29" s="37"/>
      <c r="T29" s="37"/>
      <c r="U29" s="38">
        <v>0</v>
      </c>
      <c r="V29" s="39">
        <v>0</v>
      </c>
    </row>
    <row r="30" spans="1:22" ht="22.5" customHeight="1">
      <c r="A30" s="34">
        <f>ROW()</f>
        <v>30</v>
      </c>
      <c r="B30" s="35">
        <v>30001</v>
      </c>
      <c r="C30" s="34"/>
      <c r="D30" s="40">
        <v>0.16</v>
      </c>
      <c r="E30" s="35">
        <v>1</v>
      </c>
      <c r="F30" s="35"/>
      <c r="G30" s="34"/>
      <c r="H30" s="43" t="s">
        <v>418</v>
      </c>
      <c r="I30" s="34">
        <f>IF(ISBLANK(J30),"",VLOOKUP(J30,定义!D:E,2,FALSE))</f>
        <v>1</v>
      </c>
      <c r="J30" s="52" t="s">
        <v>363</v>
      </c>
      <c r="K30" s="37">
        <v>300</v>
      </c>
      <c r="L30" s="37">
        <v>1</v>
      </c>
      <c r="M30" s="37"/>
      <c r="N30" s="37"/>
      <c r="O30" s="37"/>
      <c r="P30" s="37"/>
      <c r="Q30" s="37"/>
      <c r="R30" s="37"/>
      <c r="S30" s="37"/>
      <c r="T30" s="37"/>
      <c r="U30" s="38">
        <v>0</v>
      </c>
      <c r="V30" s="39">
        <v>0</v>
      </c>
    </row>
    <row r="31" spans="1:22" ht="22.5" customHeight="1">
      <c r="A31" s="34">
        <f>ROW()</f>
        <v>31</v>
      </c>
      <c r="B31" s="35">
        <v>30001</v>
      </c>
      <c r="C31" s="34"/>
      <c r="D31" s="40">
        <v>0.16</v>
      </c>
      <c r="E31" s="35">
        <v>1</v>
      </c>
      <c r="F31" s="35"/>
      <c r="G31" s="34"/>
      <c r="H31" s="43" t="s">
        <v>424</v>
      </c>
      <c r="I31" s="34">
        <f>IF(ISBLANK(J31),"",VLOOKUP(J31,定义!D:E,2,FALSE))</f>
        <v>8</v>
      </c>
      <c r="J31" s="52" t="s">
        <v>373</v>
      </c>
      <c r="K31" s="37">
        <v>50</v>
      </c>
      <c r="L31" s="37">
        <v>150</v>
      </c>
      <c r="M31" s="37">
        <v>0</v>
      </c>
      <c r="N31" s="37">
        <v>0.25</v>
      </c>
      <c r="O31" s="37">
        <v>200</v>
      </c>
      <c r="P31" s="37"/>
      <c r="Q31" s="37"/>
      <c r="R31" s="37"/>
      <c r="S31" s="37"/>
      <c r="T31" s="37"/>
      <c r="U31" s="38"/>
      <c r="V31" s="39"/>
    </row>
    <row r="32" spans="1:22" ht="22.5" customHeight="1">
      <c r="A32" s="34">
        <f>ROW()</f>
        <v>32</v>
      </c>
      <c r="B32" s="35">
        <v>30001</v>
      </c>
      <c r="C32" s="34"/>
      <c r="D32" s="40">
        <v>0.16</v>
      </c>
      <c r="E32" s="35">
        <v>1</v>
      </c>
      <c r="F32" s="35"/>
      <c r="G32" s="34"/>
      <c r="H32" s="43" t="s">
        <v>419</v>
      </c>
      <c r="I32" s="34">
        <f>IF(ISBLANK(J32),"",VLOOKUP(J32,定义!D:E,2,FALSE))</f>
        <v>9</v>
      </c>
      <c r="J32" s="52" t="s">
        <v>380</v>
      </c>
      <c r="K32" s="37">
        <v>50</v>
      </c>
      <c r="L32" s="37">
        <v>60</v>
      </c>
      <c r="M32" s="37">
        <v>0</v>
      </c>
      <c r="N32" s="37">
        <v>0.2</v>
      </c>
      <c r="O32" s="37">
        <v>180</v>
      </c>
      <c r="P32" s="37"/>
      <c r="Q32" s="37"/>
      <c r="R32" s="37"/>
      <c r="S32" s="37"/>
      <c r="T32" s="37"/>
      <c r="U32" s="38"/>
      <c r="V32" s="39"/>
    </row>
    <row r="33" spans="1:22" ht="22.5" customHeight="1">
      <c r="A33" s="34" t="s">
        <v>374</v>
      </c>
      <c r="B33" s="35">
        <v>30001</v>
      </c>
      <c r="C33" s="34"/>
      <c r="D33" s="40">
        <v>0.16</v>
      </c>
      <c r="E33" s="35">
        <v>1</v>
      </c>
      <c r="F33" s="35"/>
      <c r="G33" s="34"/>
      <c r="H33" s="43" t="s">
        <v>418</v>
      </c>
      <c r="I33" s="34">
        <f>IF(ISBLANK(J33),"",VLOOKUP(J33,定义!D:E,2,FALSE))</f>
        <v>2</v>
      </c>
      <c r="J33" s="52" t="s">
        <v>381</v>
      </c>
      <c r="K33" s="37">
        <v>0.05</v>
      </c>
      <c r="L33" s="37">
        <v>1</v>
      </c>
      <c r="M33" s="37"/>
      <c r="N33" s="37"/>
      <c r="O33" s="37"/>
      <c r="P33" s="37"/>
      <c r="Q33" s="37"/>
      <c r="R33" s="37"/>
      <c r="S33" s="37"/>
      <c r="T33" s="37"/>
      <c r="U33" s="38"/>
      <c r="V33" s="39"/>
    </row>
    <row r="34" spans="1:22" ht="22.5" customHeight="1">
      <c r="A34" s="34" t="s">
        <v>374</v>
      </c>
      <c r="B34" s="35">
        <v>30001</v>
      </c>
      <c r="C34" s="34"/>
      <c r="D34" s="40">
        <v>0.16</v>
      </c>
      <c r="E34" s="35">
        <v>1</v>
      </c>
      <c r="F34" s="35"/>
      <c r="G34" s="34"/>
      <c r="H34" s="43" t="s">
        <v>419</v>
      </c>
      <c r="I34" s="34">
        <f>IF(ISBLANK(J34),"",VLOOKUP(J34,定义!D:E,2,FALSE))</f>
        <v>6</v>
      </c>
      <c r="J34" s="52" t="s">
        <v>382</v>
      </c>
      <c r="K34" s="37">
        <v>0.1</v>
      </c>
      <c r="L34" s="37"/>
      <c r="M34" s="37"/>
      <c r="N34" s="37"/>
      <c r="O34" s="37"/>
      <c r="P34" s="37"/>
      <c r="Q34" s="37"/>
      <c r="R34" s="37"/>
      <c r="S34" s="37"/>
      <c r="T34" s="37"/>
      <c r="U34" s="38"/>
      <c r="V34" s="39"/>
    </row>
    <row r="35" spans="1:22" ht="22.5" customHeight="1">
      <c r="A35" s="34" t="s">
        <v>374</v>
      </c>
      <c r="B35" s="35">
        <v>30001</v>
      </c>
      <c r="C35" s="34"/>
      <c r="D35" s="40">
        <v>0.16</v>
      </c>
      <c r="E35" s="35">
        <v>1</v>
      </c>
      <c r="F35" s="35"/>
      <c r="G35" s="34"/>
      <c r="H35" s="43" t="s">
        <v>423</v>
      </c>
      <c r="I35" s="34">
        <f>IF(ISBLANK(J35),"",VLOOKUP(J35,定义!D:E,2,FALSE))</f>
        <v>7</v>
      </c>
      <c r="J35" s="52" t="s">
        <v>402</v>
      </c>
      <c r="K35" s="37">
        <v>50</v>
      </c>
      <c r="L35" s="37">
        <v>0</v>
      </c>
      <c r="M35" s="37">
        <v>0.1</v>
      </c>
      <c r="N35" s="37"/>
      <c r="O35" s="37"/>
      <c r="P35" s="37"/>
      <c r="Q35" s="37"/>
      <c r="R35" s="37"/>
      <c r="S35" s="37"/>
      <c r="T35" s="37"/>
      <c r="U35" s="38"/>
      <c r="V35" s="39"/>
    </row>
    <row r="36" spans="1:22" ht="22.5" customHeight="1">
      <c r="A36" s="34">
        <f>ROW()</f>
        <v>36</v>
      </c>
      <c r="B36" s="35">
        <v>30001</v>
      </c>
      <c r="C36" s="34"/>
      <c r="D36" s="40">
        <v>0.35</v>
      </c>
      <c r="E36" s="35"/>
      <c r="F36" s="35"/>
      <c r="G36" s="34"/>
      <c r="H36" s="43"/>
      <c r="I36" s="34">
        <f>IF(ISBLANK(J36),"",VLOOKUP(J36,定义!D:E,2,FALSE))</f>
        <v>18</v>
      </c>
      <c r="J36" s="52" t="s">
        <v>361</v>
      </c>
      <c r="K36" s="37">
        <v>1</v>
      </c>
      <c r="L36" s="37">
        <v>0</v>
      </c>
      <c r="M36" s="37">
        <v>2</v>
      </c>
      <c r="N36" s="37">
        <v>4</v>
      </c>
      <c r="O36" s="37"/>
      <c r="P36" s="37"/>
      <c r="Q36" s="37"/>
      <c r="R36" s="37"/>
      <c r="S36" s="37"/>
      <c r="T36" s="37"/>
      <c r="U36" s="38">
        <v>0</v>
      </c>
      <c r="V36" s="39">
        <v>0</v>
      </c>
    </row>
    <row r="37" spans="1:22">
      <c r="A37" s="34" t="s">
        <v>413</v>
      </c>
      <c r="B37" s="35"/>
      <c r="C37" s="34"/>
      <c r="D37" s="40"/>
      <c r="E37" s="35"/>
      <c r="F37" s="35"/>
      <c r="G37" s="34"/>
      <c r="H37" s="34"/>
      <c r="I37" s="34" t="str">
        <f>IF(ISBLANK(J37),"",VLOOKUP(J37,定义!D:E,2,FALSE))</f>
        <v/>
      </c>
      <c r="J37" s="52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8"/>
      <c r="V37" s="39"/>
    </row>
    <row r="38" spans="1:22" ht="22.5" customHeight="1">
      <c r="A38" s="34">
        <f>ROW()</f>
        <v>38</v>
      </c>
      <c r="B38" s="35">
        <v>40001</v>
      </c>
      <c r="C38" s="34"/>
      <c r="D38" s="40">
        <v>0</v>
      </c>
      <c r="E38" s="35">
        <v>0</v>
      </c>
      <c r="F38" s="35">
        <v>0</v>
      </c>
      <c r="G38" s="34">
        <v>0</v>
      </c>
      <c r="H38" s="43"/>
      <c r="I38" s="34">
        <f>IF(ISBLANK(J38),"",VLOOKUP(J38,定义!D:E,2,FALSE))</f>
        <v>11</v>
      </c>
      <c r="J38" s="52" t="s">
        <v>267</v>
      </c>
      <c r="K38" s="37">
        <v>40</v>
      </c>
      <c r="L38" s="37">
        <v>0</v>
      </c>
      <c r="M38" s="37">
        <v>0.1</v>
      </c>
      <c r="N38" s="37"/>
      <c r="O38" s="37"/>
      <c r="P38" s="37"/>
      <c r="Q38" s="37"/>
      <c r="R38" s="37"/>
      <c r="S38" s="37"/>
      <c r="T38" s="37"/>
      <c r="U38" s="38">
        <v>0</v>
      </c>
      <c r="V38" s="39">
        <v>0</v>
      </c>
    </row>
    <row r="39" spans="1:22" ht="22.5" customHeight="1">
      <c r="A39" s="34">
        <f>ROW()</f>
        <v>39</v>
      </c>
      <c r="B39" s="35">
        <v>40001</v>
      </c>
      <c r="C39" s="34"/>
      <c r="D39" s="40">
        <v>0.16</v>
      </c>
      <c r="E39" s="35">
        <v>1</v>
      </c>
      <c r="F39" s="35"/>
      <c r="G39" s="34"/>
      <c r="H39" s="43" t="s">
        <v>370</v>
      </c>
      <c r="I39" s="34">
        <f>IF(ISBLANK(J39),"",VLOOKUP(J39,定义!D:E,2,FALSE))</f>
        <v>31</v>
      </c>
      <c r="J39" s="52" t="s">
        <v>362</v>
      </c>
      <c r="K39" s="37">
        <v>0</v>
      </c>
      <c r="L39" s="37">
        <v>200</v>
      </c>
      <c r="M39" s="37">
        <v>-10</v>
      </c>
      <c r="N39" s="37">
        <v>300</v>
      </c>
      <c r="O39" s="37">
        <v>-70</v>
      </c>
      <c r="P39" s="37">
        <v>70</v>
      </c>
      <c r="Q39" s="37"/>
      <c r="R39" s="37"/>
      <c r="S39" s="37"/>
      <c r="T39" s="37"/>
      <c r="U39" s="38">
        <v>0</v>
      </c>
      <c r="V39" s="39">
        <v>0</v>
      </c>
    </row>
    <row r="40" spans="1:22" ht="22.5" customHeight="1">
      <c r="A40" s="34">
        <f>ROW()</f>
        <v>40</v>
      </c>
      <c r="B40" s="35">
        <v>40001</v>
      </c>
      <c r="C40" s="34"/>
      <c r="D40" s="40">
        <v>0.16</v>
      </c>
      <c r="E40" s="35">
        <v>1</v>
      </c>
      <c r="F40" s="35"/>
      <c r="G40" s="34"/>
      <c r="H40" s="43" t="s">
        <v>418</v>
      </c>
      <c r="I40" s="34">
        <f>IF(ISBLANK(J40),"",VLOOKUP(J40,定义!D:E,2,FALSE))</f>
        <v>1</v>
      </c>
      <c r="J40" s="52" t="s">
        <v>363</v>
      </c>
      <c r="K40" s="37">
        <v>300</v>
      </c>
      <c r="L40" s="37">
        <v>1</v>
      </c>
      <c r="M40" s="37"/>
      <c r="N40" s="37"/>
      <c r="O40" s="37"/>
      <c r="P40" s="37"/>
      <c r="Q40" s="37"/>
      <c r="R40" s="37"/>
      <c r="S40" s="37"/>
      <c r="T40" s="37"/>
      <c r="U40" s="38">
        <v>0</v>
      </c>
      <c r="V40" s="39">
        <v>0</v>
      </c>
    </row>
    <row r="41" spans="1:22" ht="22.5" customHeight="1">
      <c r="A41" s="34">
        <f>ROW()</f>
        <v>41</v>
      </c>
      <c r="B41" s="35">
        <v>40001</v>
      </c>
      <c r="C41" s="34"/>
      <c r="D41" s="40">
        <v>0.16</v>
      </c>
      <c r="E41" s="35">
        <v>1</v>
      </c>
      <c r="F41" s="35"/>
      <c r="G41" s="34"/>
      <c r="H41" s="43" t="s">
        <v>419</v>
      </c>
      <c r="I41" s="34">
        <f>IF(ISBLANK(J41),"",VLOOKUP(J41,定义!D:E,2,FALSE))</f>
        <v>9</v>
      </c>
      <c r="J41" s="52" t="s">
        <v>380</v>
      </c>
      <c r="K41" s="37">
        <v>10</v>
      </c>
      <c r="L41" s="37">
        <v>20</v>
      </c>
      <c r="M41" s="37">
        <v>0</v>
      </c>
      <c r="N41" s="37">
        <v>0.2</v>
      </c>
      <c r="O41" s="37">
        <v>160</v>
      </c>
      <c r="P41" s="37"/>
      <c r="Q41" s="37"/>
      <c r="R41" s="37"/>
      <c r="S41" s="37"/>
      <c r="T41" s="37"/>
      <c r="U41" s="38"/>
      <c r="V41" s="39"/>
    </row>
    <row r="42" spans="1:22" ht="22.5" customHeight="1">
      <c r="A42" s="34" t="s">
        <v>374</v>
      </c>
      <c r="B42" s="35">
        <v>40001</v>
      </c>
      <c r="C42" s="34"/>
      <c r="D42" s="40">
        <v>0.16</v>
      </c>
      <c r="E42" s="35">
        <v>1</v>
      </c>
      <c r="F42" s="35"/>
      <c r="G42" s="34"/>
      <c r="H42" s="43" t="s">
        <v>418</v>
      </c>
      <c r="I42" s="34">
        <f>IF(ISBLANK(J42),"",VLOOKUP(J42,定义!D:E,2,FALSE))</f>
        <v>2</v>
      </c>
      <c r="J42" s="52" t="s">
        <v>381</v>
      </c>
      <c r="K42" s="37">
        <v>0.05</v>
      </c>
      <c r="L42" s="37">
        <v>1</v>
      </c>
      <c r="M42" s="37"/>
      <c r="N42" s="37"/>
      <c r="O42" s="37"/>
      <c r="P42" s="37"/>
      <c r="Q42" s="37"/>
      <c r="R42" s="37"/>
      <c r="S42" s="37"/>
      <c r="T42" s="37"/>
      <c r="U42" s="38"/>
      <c r="V42" s="39"/>
    </row>
    <row r="43" spans="1:22" ht="22.5" customHeight="1">
      <c r="A43" s="34" t="s">
        <v>374</v>
      </c>
      <c r="B43" s="35">
        <v>40001</v>
      </c>
      <c r="C43" s="34"/>
      <c r="D43" s="40">
        <v>0.16</v>
      </c>
      <c r="E43" s="35">
        <v>1</v>
      </c>
      <c r="F43" s="35"/>
      <c r="G43" s="34"/>
      <c r="H43" s="43" t="s">
        <v>419</v>
      </c>
      <c r="I43" s="34">
        <f>IF(ISBLANK(J43),"",VLOOKUP(J43,定义!D:E,2,FALSE))</f>
        <v>6</v>
      </c>
      <c r="J43" s="52" t="s">
        <v>382</v>
      </c>
      <c r="K43" s="37">
        <v>0.1</v>
      </c>
      <c r="L43" s="37"/>
      <c r="M43" s="37"/>
      <c r="N43" s="37"/>
      <c r="O43" s="37"/>
      <c r="P43" s="37"/>
      <c r="Q43" s="37"/>
      <c r="R43" s="37"/>
      <c r="S43" s="37"/>
      <c r="T43" s="37"/>
      <c r="U43" s="38"/>
      <c r="V43" s="39"/>
    </row>
    <row r="44" spans="1:22" ht="22.5" customHeight="1">
      <c r="A44" s="34">
        <f>ROW()</f>
        <v>44</v>
      </c>
      <c r="B44" s="35">
        <v>40001</v>
      </c>
      <c r="C44" s="34"/>
      <c r="D44" s="40">
        <v>0.16</v>
      </c>
      <c r="E44" s="35">
        <v>1</v>
      </c>
      <c r="F44" s="35"/>
      <c r="G44" s="34"/>
      <c r="H44" s="43" t="s">
        <v>423</v>
      </c>
      <c r="I44" s="34">
        <f>IF(ISBLANK(J44),"",VLOOKUP(J44,定义!D:E,2,FALSE))</f>
        <v>7</v>
      </c>
      <c r="J44" s="52" t="s">
        <v>402</v>
      </c>
      <c r="K44" s="37">
        <v>50</v>
      </c>
      <c r="L44" s="37">
        <v>0</v>
      </c>
      <c r="M44" s="37">
        <v>0.1</v>
      </c>
      <c r="N44" s="37"/>
      <c r="O44" s="37"/>
      <c r="P44" s="37"/>
      <c r="Q44" s="37"/>
      <c r="R44" s="37"/>
      <c r="S44" s="37"/>
      <c r="T44" s="37"/>
      <c r="U44" s="38"/>
      <c r="V44" s="39"/>
    </row>
    <row r="45" spans="1:22" ht="22.5" customHeight="1">
      <c r="A45" s="34">
        <f>ROW()</f>
        <v>45</v>
      </c>
      <c r="B45" s="35">
        <v>40001</v>
      </c>
      <c r="C45" s="34"/>
      <c r="D45" s="40">
        <v>0.26</v>
      </c>
      <c r="E45" s="35">
        <v>0</v>
      </c>
      <c r="F45" s="35">
        <v>0</v>
      </c>
      <c r="G45" s="34">
        <v>0</v>
      </c>
      <c r="H45" s="43"/>
      <c r="I45" s="34">
        <f>IF(ISBLANK(J45),"",VLOOKUP(J45,定义!D:E,2,FALSE))</f>
        <v>11</v>
      </c>
      <c r="J45" s="52" t="s">
        <v>267</v>
      </c>
      <c r="K45" s="37">
        <v>40</v>
      </c>
      <c r="L45" s="37">
        <v>0</v>
      </c>
      <c r="M45" s="37">
        <v>0.1</v>
      </c>
      <c r="N45" s="37"/>
      <c r="O45" s="37"/>
      <c r="P45" s="37"/>
      <c r="Q45" s="37"/>
      <c r="R45" s="37"/>
      <c r="S45" s="37"/>
      <c r="T45" s="37"/>
      <c r="U45" s="38">
        <v>0</v>
      </c>
      <c r="V45" s="39">
        <v>0</v>
      </c>
    </row>
    <row r="46" spans="1:22" ht="22.5" customHeight="1">
      <c r="A46" s="34">
        <f>ROW()</f>
        <v>46</v>
      </c>
      <c r="B46" s="35">
        <v>40001</v>
      </c>
      <c r="C46" s="34"/>
      <c r="D46" s="40">
        <v>0.28999999999999998</v>
      </c>
      <c r="E46" s="35">
        <v>2</v>
      </c>
      <c r="F46" s="35"/>
      <c r="G46" s="34"/>
      <c r="H46" s="43" t="s">
        <v>370</v>
      </c>
      <c r="I46" s="34">
        <f>IF(ISBLANK(J46),"",VLOOKUP(J46,定义!D:E,2,FALSE))</f>
        <v>31</v>
      </c>
      <c r="J46" s="52" t="s">
        <v>362</v>
      </c>
      <c r="K46" s="37">
        <v>0</v>
      </c>
      <c r="L46" s="37">
        <v>200</v>
      </c>
      <c r="M46" s="37">
        <v>-10</v>
      </c>
      <c r="N46" s="37">
        <v>300</v>
      </c>
      <c r="O46" s="37">
        <v>-70</v>
      </c>
      <c r="P46" s="37">
        <v>70</v>
      </c>
      <c r="Q46" s="37"/>
      <c r="R46" s="37"/>
      <c r="S46" s="37"/>
      <c r="T46" s="37"/>
      <c r="U46" s="38">
        <v>0</v>
      </c>
      <c r="V46" s="39">
        <v>0</v>
      </c>
    </row>
    <row r="47" spans="1:22" ht="22.5" customHeight="1">
      <c r="A47" s="34">
        <f>ROW()</f>
        <v>47</v>
      </c>
      <c r="B47" s="35">
        <v>40001</v>
      </c>
      <c r="C47" s="34"/>
      <c r="D47" s="40">
        <v>0.28999999999999998</v>
      </c>
      <c r="E47" s="35">
        <v>2</v>
      </c>
      <c r="F47" s="35"/>
      <c r="G47" s="34"/>
      <c r="H47" s="43" t="s">
        <v>418</v>
      </c>
      <c r="I47" s="34">
        <f>IF(ISBLANK(J47),"",VLOOKUP(J47,定义!D:E,2,FALSE))</f>
        <v>1</v>
      </c>
      <c r="J47" s="52" t="s">
        <v>363</v>
      </c>
      <c r="K47" s="37">
        <v>300</v>
      </c>
      <c r="L47" s="37">
        <v>1</v>
      </c>
      <c r="M47" s="37"/>
      <c r="N47" s="37"/>
      <c r="O47" s="37"/>
      <c r="P47" s="37"/>
      <c r="Q47" s="37"/>
      <c r="R47" s="37"/>
      <c r="S47" s="37"/>
      <c r="T47" s="37"/>
      <c r="U47" s="38">
        <v>0</v>
      </c>
      <c r="V47" s="39">
        <v>0</v>
      </c>
    </row>
    <row r="48" spans="1:22" ht="22.5" customHeight="1">
      <c r="A48" s="34">
        <f>ROW()</f>
        <v>48</v>
      </c>
      <c r="B48" s="35">
        <v>40001</v>
      </c>
      <c r="C48" s="34"/>
      <c r="D48" s="40">
        <v>0.28999999999999998</v>
      </c>
      <c r="E48" s="35">
        <v>2</v>
      </c>
      <c r="F48" s="35"/>
      <c r="G48" s="34"/>
      <c r="H48" s="43" t="s">
        <v>419</v>
      </c>
      <c r="I48" s="34">
        <f>IF(ISBLANK(J48),"",VLOOKUP(J48,定义!D:E,2,FALSE))</f>
        <v>9</v>
      </c>
      <c r="J48" s="52" t="s">
        <v>380</v>
      </c>
      <c r="K48" s="37">
        <v>10</v>
      </c>
      <c r="L48" s="37">
        <v>20</v>
      </c>
      <c r="M48" s="37">
        <v>0</v>
      </c>
      <c r="N48" s="37">
        <v>0.2</v>
      </c>
      <c r="O48" s="37">
        <v>160</v>
      </c>
      <c r="P48" s="37"/>
      <c r="Q48" s="37"/>
      <c r="R48" s="37"/>
      <c r="S48" s="37"/>
      <c r="T48" s="37"/>
      <c r="U48" s="38"/>
      <c r="V48" s="39"/>
    </row>
    <row r="49" spans="1:22" ht="22.5" customHeight="1">
      <c r="A49" s="34" t="s">
        <v>374</v>
      </c>
      <c r="B49" s="35">
        <v>40001</v>
      </c>
      <c r="C49" s="34"/>
      <c r="D49" s="40">
        <v>0.28999999999999998</v>
      </c>
      <c r="E49" s="35">
        <v>2</v>
      </c>
      <c r="F49" s="35"/>
      <c r="G49" s="34"/>
      <c r="H49" s="43" t="s">
        <v>418</v>
      </c>
      <c r="I49" s="34">
        <f>IF(ISBLANK(J49),"",VLOOKUP(J49,定义!D:E,2,FALSE))</f>
        <v>2</v>
      </c>
      <c r="J49" s="52" t="s">
        <v>381</v>
      </c>
      <c r="K49" s="37">
        <v>0.05</v>
      </c>
      <c r="L49" s="37">
        <v>1</v>
      </c>
      <c r="M49" s="37"/>
      <c r="N49" s="37"/>
      <c r="O49" s="37"/>
      <c r="P49" s="37"/>
      <c r="Q49" s="37"/>
      <c r="R49" s="37"/>
      <c r="S49" s="37"/>
      <c r="T49" s="37"/>
      <c r="U49" s="38"/>
      <c r="V49" s="39"/>
    </row>
    <row r="50" spans="1:22" ht="22.5" customHeight="1">
      <c r="A50" s="34" t="s">
        <v>374</v>
      </c>
      <c r="B50" s="35">
        <v>40001</v>
      </c>
      <c r="C50" s="34"/>
      <c r="D50" s="40">
        <v>0.28999999999999998</v>
      </c>
      <c r="E50" s="35">
        <v>2</v>
      </c>
      <c r="F50" s="35"/>
      <c r="G50" s="34"/>
      <c r="H50" s="43" t="s">
        <v>419</v>
      </c>
      <c r="I50" s="34">
        <f>IF(ISBLANK(J50),"",VLOOKUP(J50,定义!D:E,2,FALSE))</f>
        <v>6</v>
      </c>
      <c r="J50" s="52" t="s">
        <v>382</v>
      </c>
      <c r="K50" s="37">
        <v>0.1</v>
      </c>
      <c r="L50" s="37"/>
      <c r="M50" s="37"/>
      <c r="N50" s="37"/>
      <c r="O50" s="37"/>
      <c r="P50" s="37"/>
      <c r="Q50" s="37"/>
      <c r="R50" s="37"/>
      <c r="S50" s="37"/>
      <c r="T50" s="37"/>
      <c r="U50" s="38"/>
      <c r="V50" s="39"/>
    </row>
    <row r="51" spans="1:22" ht="22.5" customHeight="1">
      <c r="A51" s="34">
        <f>ROW()</f>
        <v>51</v>
      </c>
      <c r="B51" s="35">
        <v>40001</v>
      </c>
      <c r="C51" s="34"/>
      <c r="D51" s="40">
        <v>0.28999999999999998</v>
      </c>
      <c r="E51" s="35">
        <v>2</v>
      </c>
      <c r="F51" s="35"/>
      <c r="G51" s="34"/>
      <c r="H51" s="43" t="s">
        <v>423</v>
      </c>
      <c r="I51" s="34">
        <f>IF(ISBLANK(J51),"",VLOOKUP(J51,定义!D:E,2,FALSE))</f>
        <v>7</v>
      </c>
      <c r="J51" s="52" t="s">
        <v>402</v>
      </c>
      <c r="K51" s="37">
        <v>50</v>
      </c>
      <c r="L51" s="37">
        <v>0</v>
      </c>
      <c r="M51" s="37">
        <v>0.1</v>
      </c>
      <c r="N51" s="37"/>
      <c r="O51" s="37"/>
      <c r="P51" s="37"/>
      <c r="Q51" s="37"/>
      <c r="R51" s="37"/>
      <c r="S51" s="37"/>
      <c r="T51" s="37"/>
      <c r="U51" s="38"/>
      <c r="V51" s="39"/>
    </row>
    <row r="52" spans="1:22" ht="22.5" customHeight="1">
      <c r="A52" s="34">
        <f>ROW()</f>
        <v>52</v>
      </c>
      <c r="B52" s="35">
        <v>40001</v>
      </c>
      <c r="C52" s="34"/>
      <c r="D52" s="40">
        <v>0.42</v>
      </c>
      <c r="E52" s="35">
        <v>1</v>
      </c>
      <c r="F52" s="35"/>
      <c r="G52" s="34"/>
      <c r="H52" s="43"/>
      <c r="I52" s="34">
        <f>IF(ISBLANK(J52),"",VLOOKUP(J52,定义!D:E,2,FALSE))</f>
        <v>18</v>
      </c>
      <c r="J52" s="52" t="s">
        <v>361</v>
      </c>
      <c r="K52" s="37">
        <v>1</v>
      </c>
      <c r="L52" s="37">
        <v>0</v>
      </c>
      <c r="M52" s="37">
        <v>2</v>
      </c>
      <c r="N52" s="37">
        <v>1</v>
      </c>
      <c r="O52" s="37"/>
      <c r="P52" s="37"/>
      <c r="Q52" s="37"/>
      <c r="R52" s="37"/>
      <c r="S52" s="37"/>
      <c r="T52" s="37"/>
      <c r="U52" s="38"/>
      <c r="V52" s="39"/>
    </row>
  </sheetData>
  <phoneticPr fontId="4" type="noConversion"/>
  <conditionalFormatting sqref="B52 B42 B4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:B44 B4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9:B5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6:B5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:B36 B5:B27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6:B1048576 B1:B4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10</xdr:col>
                    <xdr:colOff>85725</xdr:colOff>
                    <xdr:row>1</xdr:row>
                    <xdr:rowOff>285750</xdr:rowOff>
                  </from>
                  <to>
                    <xdr:col>11</xdr:col>
                    <xdr:colOff>371475</xdr:colOff>
                    <xdr:row>1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2" r:id="rId5" name="Button 11032">
              <controlPr defaultSize="0" print="0" autoFill="0" autoPict="0" macro="[0]!生成并导出json">
                <anchor moveWithCells="1" sizeWithCells="1">
                  <from>
                    <xdr:col>14</xdr:col>
                    <xdr:colOff>85725</xdr:colOff>
                    <xdr:row>1</xdr:row>
                    <xdr:rowOff>285750</xdr:rowOff>
                  </from>
                  <to>
                    <xdr:col>15</xdr:col>
                    <xdr:colOff>371475</xdr:colOff>
                    <xdr:row>1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5" ySplit="1" topLeftCell="F17" activePane="bottomRight" state="frozen"/>
      <selection pane="topRight" activeCell="F1" sqref="F1"/>
      <selection pane="bottomLeft" activeCell="A2" sqref="A2"/>
      <selection pane="bottomRight" activeCell="L19" sqref="L19"/>
    </sheetView>
  </sheetViews>
  <sheetFormatPr defaultRowHeight="13.5"/>
  <cols>
    <col min="1" max="1" width="3.5" style="22" customWidth="1"/>
    <col min="2" max="2" width="11.125" style="22" customWidth="1"/>
    <col min="3" max="3" width="7.25" style="62" customWidth="1"/>
    <col min="4" max="4" width="16.625" style="59" bestFit="1" customWidth="1"/>
    <col min="5" max="5" width="8" style="23" bestFit="1" customWidth="1"/>
    <col min="6" max="6" width="30" style="22" customWidth="1"/>
    <col min="7" max="7" width="27.75" style="22" bestFit="1" customWidth="1"/>
    <col min="8" max="8" width="18.75" style="22" bestFit="1" customWidth="1"/>
    <col min="9" max="9" width="25" style="22" bestFit="1" customWidth="1"/>
    <col min="10" max="10" width="18.75" style="22" bestFit="1" customWidth="1"/>
    <col min="11" max="13" width="13.625" style="22" bestFit="1" customWidth="1"/>
    <col min="14" max="14" width="6.25" style="22" customWidth="1"/>
    <col min="15" max="18" width="9" style="22"/>
    <col min="19" max="19" width="59.375" style="22" bestFit="1" customWidth="1"/>
    <col min="20" max="16384" width="9" style="22"/>
  </cols>
  <sheetData>
    <row r="1" spans="2:15" s="48" customFormat="1">
      <c r="B1" s="47"/>
      <c r="C1" s="61" t="s">
        <v>69</v>
      </c>
      <c r="D1" s="48" t="s">
        <v>436</v>
      </c>
      <c r="E1" s="61" t="s">
        <v>232</v>
      </c>
      <c r="F1" s="48" t="s">
        <v>234</v>
      </c>
      <c r="G1" s="48" t="s">
        <v>235</v>
      </c>
      <c r="H1" s="48" t="s">
        <v>236</v>
      </c>
      <c r="I1" s="48" t="s">
        <v>237</v>
      </c>
      <c r="J1" s="48" t="s">
        <v>238</v>
      </c>
      <c r="K1" s="48" t="s">
        <v>239</v>
      </c>
      <c r="L1" s="48" t="s">
        <v>240</v>
      </c>
      <c r="M1" s="48" t="s">
        <v>241</v>
      </c>
      <c r="N1" s="48" t="s">
        <v>242</v>
      </c>
      <c r="O1" s="48" t="s">
        <v>243</v>
      </c>
    </row>
    <row r="2" spans="2:15">
      <c r="C2" s="62">
        <v>1</v>
      </c>
      <c r="D2" s="47" t="s">
        <v>428</v>
      </c>
      <c r="E2" s="28">
        <f>C2</f>
        <v>1</v>
      </c>
      <c r="F2" s="24" t="s">
        <v>438</v>
      </c>
      <c r="G2" s="24" t="s">
        <v>244</v>
      </c>
      <c r="H2" s="24"/>
      <c r="I2" s="24"/>
      <c r="J2" s="24"/>
      <c r="K2" s="24"/>
      <c r="L2" s="24"/>
      <c r="M2" s="24"/>
    </row>
    <row r="3" spans="2:15" ht="27">
      <c r="C3" s="62">
        <v>2</v>
      </c>
      <c r="D3" s="47" t="s">
        <v>429</v>
      </c>
      <c r="E3" s="28">
        <f t="shared" ref="E3:E34" si="0">C3</f>
        <v>2</v>
      </c>
      <c r="F3" s="24" t="s">
        <v>245</v>
      </c>
      <c r="G3" s="24" t="s">
        <v>421</v>
      </c>
      <c r="H3" s="24"/>
      <c r="I3" s="24"/>
      <c r="J3" s="24"/>
      <c r="K3" s="24"/>
      <c r="L3" s="24"/>
      <c r="M3" s="24"/>
    </row>
    <row r="4" spans="2:15" ht="40.5">
      <c r="C4" s="62">
        <v>3</v>
      </c>
      <c r="D4" s="47" t="s">
        <v>430</v>
      </c>
      <c r="E4" s="28">
        <f t="shared" si="0"/>
        <v>3</v>
      </c>
      <c r="F4" s="24" t="s">
        <v>301</v>
      </c>
      <c r="G4" s="24" t="s">
        <v>739</v>
      </c>
      <c r="H4" s="24" t="s">
        <v>495</v>
      </c>
      <c r="I4" s="24" t="s">
        <v>496</v>
      </c>
      <c r="J4" s="24" t="s">
        <v>482</v>
      </c>
      <c r="K4" s="24" t="s">
        <v>538</v>
      </c>
      <c r="L4" s="24"/>
      <c r="M4" s="24"/>
    </row>
    <row r="5" spans="2:15">
      <c r="C5" s="62">
        <v>4</v>
      </c>
      <c r="D5" s="47" t="s">
        <v>431</v>
      </c>
      <c r="E5" s="28">
        <f t="shared" si="0"/>
        <v>4</v>
      </c>
      <c r="F5" s="24" t="s">
        <v>246</v>
      </c>
      <c r="G5" s="24"/>
      <c r="I5" s="24"/>
      <c r="J5" s="24"/>
      <c r="K5" s="24"/>
      <c r="L5" s="24"/>
      <c r="M5" s="24"/>
    </row>
    <row r="6" spans="2:15" ht="40.5">
      <c r="C6" s="62">
        <v>5</v>
      </c>
      <c r="D6" s="48" t="s">
        <v>432</v>
      </c>
      <c r="E6" s="28">
        <f t="shared" si="0"/>
        <v>5</v>
      </c>
      <c r="F6" s="24" t="s">
        <v>792</v>
      </c>
      <c r="G6" s="24" t="s">
        <v>728</v>
      </c>
      <c r="H6" s="24"/>
      <c r="I6" s="24"/>
      <c r="J6" s="24"/>
      <c r="K6" s="24"/>
      <c r="L6" s="24"/>
      <c r="M6" s="24"/>
    </row>
    <row r="7" spans="2:15">
      <c r="C7" s="62">
        <v>6</v>
      </c>
      <c r="D7" s="48" t="s">
        <v>433</v>
      </c>
      <c r="E7" s="28">
        <f t="shared" si="0"/>
        <v>6</v>
      </c>
      <c r="F7" s="24" t="s">
        <v>460</v>
      </c>
      <c r="G7" s="24"/>
      <c r="H7" s="24"/>
      <c r="I7" s="24"/>
      <c r="J7" s="24"/>
      <c r="K7" s="24"/>
      <c r="L7" s="24"/>
      <c r="M7" s="24"/>
    </row>
    <row r="8" spans="2:15">
      <c r="C8" s="62">
        <v>7</v>
      </c>
      <c r="D8" s="48" t="s">
        <v>434</v>
      </c>
      <c r="E8" s="28">
        <f t="shared" si="0"/>
        <v>7</v>
      </c>
      <c r="F8" s="24" t="s">
        <v>459</v>
      </c>
      <c r="G8" s="24" t="s">
        <v>411</v>
      </c>
      <c r="H8" s="24" t="s">
        <v>248</v>
      </c>
      <c r="I8" s="24"/>
      <c r="J8" s="24"/>
      <c r="K8" s="24"/>
      <c r="L8" s="24"/>
      <c r="M8" s="24"/>
    </row>
    <row r="9" spans="2:15" ht="67.5">
      <c r="C9" s="62">
        <v>8</v>
      </c>
      <c r="D9" s="48" t="s">
        <v>263</v>
      </c>
      <c r="E9" s="28">
        <f t="shared" si="0"/>
        <v>8</v>
      </c>
      <c r="F9" s="24" t="s">
        <v>793</v>
      </c>
      <c r="G9" s="24" t="s">
        <v>435</v>
      </c>
      <c r="H9" s="24" t="s">
        <v>411</v>
      </c>
      <c r="I9" s="24" t="s">
        <v>379</v>
      </c>
      <c r="J9" s="24" t="s">
        <v>249</v>
      </c>
      <c r="K9" s="24" t="s">
        <v>417</v>
      </c>
      <c r="L9" s="24"/>
      <c r="M9" s="24"/>
    </row>
    <row r="10" spans="2:15" ht="67.5">
      <c r="C10" s="62">
        <v>9</v>
      </c>
      <c r="D10" s="48" t="s">
        <v>70</v>
      </c>
      <c r="E10" s="28">
        <f t="shared" si="0"/>
        <v>9</v>
      </c>
      <c r="F10" s="24" t="s">
        <v>409</v>
      </c>
      <c r="G10" s="24" t="s">
        <v>412</v>
      </c>
      <c r="H10" s="24" t="s">
        <v>411</v>
      </c>
      <c r="I10" s="24" t="s">
        <v>379</v>
      </c>
      <c r="J10" s="24" t="s">
        <v>249</v>
      </c>
      <c r="K10" s="24" t="s">
        <v>384</v>
      </c>
      <c r="L10" s="24"/>
      <c r="M10" s="24"/>
    </row>
    <row r="11" spans="2:15">
      <c r="C11" s="62">
        <v>10</v>
      </c>
      <c r="D11" s="48" t="s">
        <v>71</v>
      </c>
      <c r="E11" s="28">
        <f t="shared" si="0"/>
        <v>10</v>
      </c>
      <c r="F11" s="24" t="s">
        <v>409</v>
      </c>
      <c r="G11" s="24" t="s">
        <v>247</v>
      </c>
      <c r="H11" s="24"/>
      <c r="I11" s="24"/>
      <c r="J11" s="24"/>
      <c r="K11" s="24"/>
      <c r="L11" s="24"/>
      <c r="M11" s="24"/>
    </row>
    <row r="12" spans="2:15" ht="67.5">
      <c r="C12" s="62">
        <v>11</v>
      </c>
      <c r="D12" s="48" t="s">
        <v>72</v>
      </c>
      <c r="E12" s="28">
        <f t="shared" si="0"/>
        <v>11</v>
      </c>
      <c r="F12" s="24" t="s">
        <v>409</v>
      </c>
      <c r="G12" s="15" t="s">
        <v>411</v>
      </c>
      <c r="H12" s="15" t="s">
        <v>758</v>
      </c>
      <c r="I12" s="24" t="s">
        <v>760</v>
      </c>
      <c r="J12" s="24" t="s">
        <v>759</v>
      </c>
      <c r="K12" s="24"/>
      <c r="L12" s="24"/>
      <c r="M12" s="24"/>
    </row>
    <row r="13" spans="2:15">
      <c r="C13" s="62">
        <v>12</v>
      </c>
      <c r="D13" s="48" t="s">
        <v>73</v>
      </c>
      <c r="E13" s="28">
        <f t="shared" si="0"/>
        <v>12</v>
      </c>
      <c r="F13" s="24"/>
      <c r="G13" s="24"/>
      <c r="H13" s="24"/>
      <c r="I13" s="24"/>
      <c r="J13" s="24"/>
      <c r="K13" s="24"/>
      <c r="L13" s="24"/>
      <c r="M13" s="24"/>
    </row>
    <row r="14" spans="2:15" ht="27">
      <c r="C14" s="62">
        <v>13</v>
      </c>
      <c r="D14" s="48" t="s">
        <v>74</v>
      </c>
      <c r="E14" s="28">
        <f t="shared" si="0"/>
        <v>13</v>
      </c>
      <c r="F14" s="24" t="s">
        <v>250</v>
      </c>
      <c r="G14" s="24" t="s">
        <v>784</v>
      </c>
      <c r="H14" s="24" t="s">
        <v>251</v>
      </c>
      <c r="I14" s="24"/>
      <c r="J14" s="24"/>
      <c r="K14" s="24"/>
      <c r="L14" s="24"/>
      <c r="M14" s="24"/>
    </row>
    <row r="15" spans="2:15" ht="94.5">
      <c r="C15" s="62">
        <v>14</v>
      </c>
      <c r="D15" s="48" t="s">
        <v>75</v>
      </c>
      <c r="E15" s="28">
        <f t="shared" si="0"/>
        <v>14</v>
      </c>
      <c r="F15" s="24" t="s">
        <v>484</v>
      </c>
      <c r="G15" s="22" t="s">
        <v>493</v>
      </c>
      <c r="H15" s="24" t="s">
        <v>309</v>
      </c>
      <c r="I15" s="15" t="s">
        <v>506</v>
      </c>
      <c r="J15" s="24" t="s">
        <v>738</v>
      </c>
      <c r="K15" s="24" t="s">
        <v>757</v>
      </c>
    </row>
    <row r="16" spans="2:15" ht="108">
      <c r="C16" s="62">
        <v>16</v>
      </c>
      <c r="D16" s="48" t="s">
        <v>76</v>
      </c>
      <c r="E16" s="28">
        <f t="shared" si="0"/>
        <v>16</v>
      </c>
      <c r="F16" s="14" t="s">
        <v>443</v>
      </c>
      <c r="G16" s="24" t="s">
        <v>446</v>
      </c>
      <c r="H16" s="15" t="s">
        <v>444</v>
      </c>
      <c r="I16" s="15" t="s">
        <v>527</v>
      </c>
      <c r="J16" s="15" t="s">
        <v>445</v>
      </c>
      <c r="K16" s="15" t="s">
        <v>389</v>
      </c>
      <c r="L16" s="24" t="s">
        <v>448</v>
      </c>
      <c r="M16" s="15" t="s">
        <v>447</v>
      </c>
      <c r="N16" s="15" t="s">
        <v>724</v>
      </c>
    </row>
    <row r="17" spans="3:19" ht="67.5">
      <c r="C17" s="62">
        <v>17</v>
      </c>
      <c r="D17" s="48" t="s">
        <v>77</v>
      </c>
      <c r="E17" s="28">
        <f t="shared" si="0"/>
        <v>17</v>
      </c>
      <c r="F17" s="24" t="s">
        <v>731</v>
      </c>
      <c r="G17" s="24" t="s">
        <v>557</v>
      </c>
      <c r="H17" s="24" t="s">
        <v>556</v>
      </c>
      <c r="I17" s="24" t="s">
        <v>555</v>
      </c>
      <c r="J17" s="22" t="s">
        <v>765</v>
      </c>
      <c r="K17" s="24"/>
      <c r="L17" s="24"/>
      <c r="M17" s="24"/>
    </row>
    <row r="18" spans="3:19" ht="121.5">
      <c r="C18" s="62">
        <v>18</v>
      </c>
      <c r="D18" s="48" t="s">
        <v>78</v>
      </c>
      <c r="E18" s="28">
        <f t="shared" si="0"/>
        <v>18</v>
      </c>
      <c r="F18" s="24" t="s">
        <v>753</v>
      </c>
      <c r="G18" s="24" t="s">
        <v>442</v>
      </c>
      <c r="H18" s="24" t="s">
        <v>776</v>
      </c>
      <c r="I18" s="24" t="s">
        <v>754</v>
      </c>
      <c r="K18" s="24"/>
      <c r="L18" s="24"/>
      <c r="M18" s="24"/>
    </row>
    <row r="19" spans="3:19" ht="67.5">
      <c r="C19" s="62">
        <v>15</v>
      </c>
      <c r="D19" s="48" t="s">
        <v>723</v>
      </c>
      <c r="E19" s="28">
        <f t="shared" si="0"/>
        <v>15</v>
      </c>
      <c r="F19" s="24" t="s">
        <v>548</v>
      </c>
      <c r="G19" s="22" t="s">
        <v>568</v>
      </c>
      <c r="H19" s="78" t="s">
        <v>566</v>
      </c>
      <c r="I19" s="79" t="s">
        <v>567</v>
      </c>
      <c r="J19" s="24" t="s">
        <v>535</v>
      </c>
      <c r="K19" s="24" t="s">
        <v>536</v>
      </c>
      <c r="L19" s="24" t="s">
        <v>795</v>
      </c>
      <c r="R19" s="23" t="s">
        <v>333</v>
      </c>
      <c r="S19" s="23"/>
    </row>
    <row r="20" spans="3:19" ht="54">
      <c r="C20" s="62">
        <v>19</v>
      </c>
      <c r="D20" s="48" t="s">
        <v>79</v>
      </c>
      <c r="E20" s="28">
        <f t="shared" si="0"/>
        <v>19</v>
      </c>
      <c r="F20" s="15" t="s">
        <v>252</v>
      </c>
      <c r="G20" s="14" t="s">
        <v>253</v>
      </c>
      <c r="H20" s="15" t="s">
        <v>254</v>
      </c>
      <c r="I20" s="15" t="s">
        <v>255</v>
      </c>
      <c r="J20" s="22" t="s">
        <v>439</v>
      </c>
      <c r="K20" s="22" t="s">
        <v>364</v>
      </c>
      <c r="L20" s="22" t="s">
        <v>365</v>
      </c>
      <c r="M20" s="22" t="s">
        <v>366</v>
      </c>
      <c r="N20" s="22" t="s">
        <v>367</v>
      </c>
      <c r="O20" s="22" t="s">
        <v>794</v>
      </c>
    </row>
    <row r="21" spans="3:19">
      <c r="C21" s="62">
        <v>20</v>
      </c>
      <c r="D21" s="48" t="s">
        <v>80</v>
      </c>
      <c r="E21" s="28">
        <f t="shared" si="0"/>
        <v>20</v>
      </c>
      <c r="F21" s="27" t="s">
        <v>176</v>
      </c>
      <c r="G21" s="22" t="s">
        <v>177</v>
      </c>
      <c r="H21" s="24"/>
      <c r="I21" s="24"/>
      <c r="J21" s="24"/>
      <c r="K21" s="24"/>
      <c r="L21" s="24"/>
      <c r="M21" s="24"/>
    </row>
    <row r="22" spans="3:19" ht="40.5">
      <c r="C22" s="62">
        <v>21</v>
      </c>
      <c r="D22" s="48" t="s">
        <v>81</v>
      </c>
      <c r="E22" s="28">
        <f t="shared" si="0"/>
        <v>21</v>
      </c>
      <c r="F22" s="27" t="s">
        <v>179</v>
      </c>
      <c r="G22" s="22" t="s">
        <v>531</v>
      </c>
      <c r="H22" s="24" t="s">
        <v>778</v>
      </c>
      <c r="I22" s="24"/>
      <c r="J22" s="24"/>
      <c r="K22" s="24"/>
      <c r="L22" s="24"/>
      <c r="M22" s="24"/>
    </row>
    <row r="23" spans="3:19">
      <c r="C23" s="62">
        <v>22</v>
      </c>
      <c r="D23" s="48" t="s">
        <v>82</v>
      </c>
      <c r="E23" s="28">
        <f t="shared" si="0"/>
        <v>22</v>
      </c>
      <c r="F23" s="24"/>
      <c r="G23" s="24"/>
      <c r="H23" s="24"/>
      <c r="I23" s="24"/>
      <c r="J23" s="24"/>
      <c r="K23" s="24"/>
      <c r="L23" s="24"/>
      <c r="M23" s="24"/>
    </row>
    <row r="24" spans="3:19">
      <c r="C24" s="62">
        <v>23</v>
      </c>
      <c r="D24" s="48" t="s">
        <v>83</v>
      </c>
      <c r="E24" s="28">
        <f t="shared" si="0"/>
        <v>23</v>
      </c>
      <c r="F24" s="24"/>
      <c r="G24" s="24"/>
      <c r="H24" s="24"/>
      <c r="I24" s="24"/>
      <c r="J24" s="24"/>
      <c r="K24" s="24"/>
      <c r="L24" s="24"/>
      <c r="M24" s="24"/>
    </row>
    <row r="25" spans="3:19">
      <c r="C25" s="62">
        <v>24</v>
      </c>
      <c r="D25" s="48" t="s">
        <v>84</v>
      </c>
      <c r="E25" s="28">
        <f t="shared" si="0"/>
        <v>24</v>
      </c>
      <c r="F25" s="24"/>
      <c r="G25" s="24"/>
      <c r="H25" s="24"/>
      <c r="I25" s="24"/>
      <c r="J25" s="24"/>
      <c r="K25" s="24"/>
      <c r="L25" s="24"/>
      <c r="M25" s="24"/>
    </row>
    <row r="26" spans="3:19">
      <c r="C26" s="62">
        <v>25</v>
      </c>
      <c r="D26" s="48" t="s">
        <v>85</v>
      </c>
      <c r="E26" s="28">
        <f t="shared" si="0"/>
        <v>25</v>
      </c>
      <c r="F26" s="24"/>
      <c r="G26" s="24"/>
      <c r="H26" s="24"/>
      <c r="I26" s="24"/>
      <c r="J26" s="24"/>
      <c r="K26" s="24"/>
      <c r="L26" s="24"/>
      <c r="M26" s="24"/>
    </row>
    <row r="27" spans="3:19">
      <c r="C27" s="62">
        <v>26</v>
      </c>
      <c r="D27" s="48" t="s">
        <v>86</v>
      </c>
      <c r="E27" s="28">
        <f t="shared" si="0"/>
        <v>26</v>
      </c>
      <c r="F27" s="24"/>
      <c r="G27" s="24"/>
      <c r="H27" s="24"/>
      <c r="I27" s="24"/>
      <c r="J27" s="24"/>
      <c r="K27" s="24"/>
      <c r="L27" s="24"/>
      <c r="M27" s="24"/>
    </row>
    <row r="28" spans="3:19">
      <c r="C28" s="62">
        <v>27</v>
      </c>
      <c r="D28" s="48" t="s">
        <v>87</v>
      </c>
      <c r="E28" s="28">
        <f t="shared" si="0"/>
        <v>27</v>
      </c>
      <c r="F28" s="24"/>
      <c r="G28" s="24"/>
      <c r="H28" s="24"/>
      <c r="I28" s="24"/>
      <c r="J28" s="24"/>
      <c r="K28" s="24"/>
      <c r="L28" s="24"/>
      <c r="M28" s="24"/>
    </row>
    <row r="29" spans="3:19">
      <c r="C29" s="62">
        <v>28</v>
      </c>
      <c r="D29" s="48" t="s">
        <v>88</v>
      </c>
      <c r="E29" s="28">
        <f t="shared" si="0"/>
        <v>28</v>
      </c>
      <c r="F29" s="24"/>
      <c r="G29" s="24"/>
      <c r="H29" s="24"/>
      <c r="I29" s="24"/>
      <c r="J29" s="24"/>
      <c r="K29" s="24"/>
      <c r="L29" s="24"/>
      <c r="M29" s="24"/>
    </row>
    <row r="30" spans="3:19" ht="40.5">
      <c r="C30" s="62">
        <v>29</v>
      </c>
      <c r="D30" s="48" t="s">
        <v>89</v>
      </c>
      <c r="E30" s="28">
        <f t="shared" si="0"/>
        <v>29</v>
      </c>
      <c r="F30" s="24" t="s">
        <v>766</v>
      </c>
      <c r="G30" s="24" t="s">
        <v>196</v>
      </c>
      <c r="H30" s="24" t="s">
        <v>565</v>
      </c>
      <c r="I30" s="24"/>
      <c r="J30" s="24"/>
      <c r="K30" s="24"/>
      <c r="L30" s="24"/>
      <c r="M30" s="24"/>
    </row>
    <row r="31" spans="3:19">
      <c r="C31" s="62">
        <v>30</v>
      </c>
      <c r="D31" s="48" t="s">
        <v>90</v>
      </c>
      <c r="E31" s="28">
        <f t="shared" si="0"/>
        <v>30</v>
      </c>
      <c r="F31" s="24"/>
      <c r="G31" s="24"/>
      <c r="H31" s="24"/>
      <c r="I31" s="24"/>
      <c r="J31" s="24"/>
      <c r="K31" s="24"/>
      <c r="L31" s="24"/>
      <c r="M31" s="24"/>
    </row>
    <row r="32" spans="3:19" ht="24" customHeight="1">
      <c r="C32" s="62">
        <v>31</v>
      </c>
      <c r="D32" s="48" t="s">
        <v>297</v>
      </c>
      <c r="E32" s="28">
        <f t="shared" si="0"/>
        <v>31</v>
      </c>
      <c r="F32" s="22" t="s">
        <v>439</v>
      </c>
      <c r="G32" s="22" t="s">
        <v>364</v>
      </c>
      <c r="H32" s="22" t="s">
        <v>365</v>
      </c>
      <c r="I32" s="22" t="s">
        <v>366</v>
      </c>
      <c r="J32" s="22" t="s">
        <v>367</v>
      </c>
      <c r="K32" s="22" t="s">
        <v>368</v>
      </c>
    </row>
    <row r="33" spans="3:12" ht="108">
      <c r="C33" s="62">
        <v>32</v>
      </c>
      <c r="D33" s="48" t="s">
        <v>298</v>
      </c>
      <c r="E33" s="28">
        <f t="shared" si="0"/>
        <v>32</v>
      </c>
      <c r="F33" s="15" t="s">
        <v>463</v>
      </c>
      <c r="G33" s="15" t="s">
        <v>464</v>
      </c>
      <c r="H33" s="11" t="s">
        <v>777</v>
      </c>
      <c r="I33" s="15" t="s">
        <v>462</v>
      </c>
      <c r="J33" s="15" t="s">
        <v>468</v>
      </c>
      <c r="K33" s="15" t="s">
        <v>487</v>
      </c>
      <c r="L33" s="15" t="s">
        <v>486</v>
      </c>
    </row>
    <row r="34" spans="3:12">
      <c r="C34" s="62">
        <v>33</v>
      </c>
      <c r="D34" s="48" t="s">
        <v>388</v>
      </c>
      <c r="E34" s="28">
        <f t="shared" si="0"/>
        <v>33</v>
      </c>
      <c r="F34" s="22" t="s">
        <v>488</v>
      </c>
    </row>
    <row r="35" spans="3:12">
      <c r="C35" s="62">
        <v>34</v>
      </c>
      <c r="D35" s="48" t="s">
        <v>743</v>
      </c>
      <c r="E35" s="23">
        <v>34</v>
      </c>
      <c r="F35" s="24" t="s">
        <v>735</v>
      </c>
    </row>
    <row r="36" spans="3:12" ht="67.5">
      <c r="C36" s="62">
        <v>35</v>
      </c>
      <c r="D36" s="48" t="s">
        <v>740</v>
      </c>
      <c r="E36" s="23">
        <v>35</v>
      </c>
      <c r="F36" s="24" t="s">
        <v>771</v>
      </c>
      <c r="G36" s="24" t="s">
        <v>755</v>
      </c>
      <c r="H36" s="24" t="s">
        <v>741</v>
      </c>
      <c r="I36" s="24" t="s">
        <v>742</v>
      </c>
      <c r="J36" s="24" t="s">
        <v>769</v>
      </c>
    </row>
    <row r="37" spans="3:12" ht="27">
      <c r="C37" s="62">
        <v>36</v>
      </c>
      <c r="D37" s="48" t="s">
        <v>750</v>
      </c>
      <c r="E37" s="23">
        <v>36</v>
      </c>
      <c r="F37" s="24" t="s">
        <v>745</v>
      </c>
      <c r="G37" s="24" t="s">
        <v>746</v>
      </c>
      <c r="H37" s="24" t="s">
        <v>747</v>
      </c>
      <c r="I37" s="24" t="s">
        <v>748</v>
      </c>
    </row>
  </sheetData>
  <phoneticPr fontId="2" type="noConversion"/>
  <conditionalFormatting sqref="I18">
    <cfRule type="duplicateValues" dxfId="63" priority="5"/>
    <cfRule type="duplicateValues" dxfId="62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2"/>
  <sheetViews>
    <sheetView tabSelected="1" zoomScaleNormal="100" workbookViewId="0">
      <pane xSplit="4" ySplit="1" topLeftCell="G17" activePane="bottomRight" state="frozen"/>
      <selection pane="topRight" activeCell="D1" sqref="D1"/>
      <selection pane="bottomLeft" activeCell="A2" sqref="A2"/>
      <selection pane="bottomRight" activeCell="C24" sqref="C24"/>
    </sheetView>
  </sheetViews>
  <sheetFormatPr defaultRowHeight="13.5"/>
  <cols>
    <col min="1" max="1" width="5" style="23" customWidth="1"/>
    <col min="2" max="2" width="7.75" style="23" bestFit="1" customWidth="1"/>
    <col min="3" max="3" width="15.125" style="28" customWidth="1"/>
    <col min="4" max="4" width="17.25" style="24" customWidth="1"/>
    <col min="5" max="5" width="16.625" style="24" customWidth="1"/>
    <col min="6" max="6" width="65.625" style="22" customWidth="1"/>
    <col min="7" max="7" width="7.125" style="23" customWidth="1"/>
    <col min="8" max="8" width="6.375" style="28" customWidth="1"/>
    <col min="9" max="9" width="17.375" style="22" bestFit="1" customWidth="1"/>
    <col min="10" max="10" width="20.625" style="22" customWidth="1"/>
    <col min="11" max="11" width="14.25" style="22" customWidth="1"/>
    <col min="12" max="12" width="20.25" style="22" customWidth="1"/>
    <col min="13" max="13" width="22.375" style="22" customWidth="1"/>
    <col min="14" max="18" width="13" style="22" customWidth="1"/>
    <col min="19" max="19" width="15.625" style="23" customWidth="1"/>
    <col min="20" max="20" width="10.125" style="23" customWidth="1"/>
    <col min="21" max="16384" width="9" style="22"/>
  </cols>
  <sheetData>
    <row r="1" spans="1:21" ht="42" customHeight="1">
      <c r="A1" s="30" t="s">
        <v>334</v>
      </c>
      <c r="B1" s="30" t="s">
        <v>736</v>
      </c>
      <c r="C1" s="30"/>
      <c r="D1" s="3" t="s">
        <v>335</v>
      </c>
      <c r="E1" s="3"/>
      <c r="F1" s="30" t="s">
        <v>492</v>
      </c>
      <c r="G1" s="30" t="s">
        <v>359</v>
      </c>
      <c r="H1" s="70" t="s">
        <v>489</v>
      </c>
      <c r="I1" s="69" t="s">
        <v>336</v>
      </c>
      <c r="J1" s="69" t="s">
        <v>337</v>
      </c>
      <c r="K1" s="69" t="s">
        <v>42</v>
      </c>
      <c r="L1" s="69" t="s">
        <v>43</v>
      </c>
      <c r="M1" s="69" t="s">
        <v>44</v>
      </c>
      <c r="N1" s="69" t="s">
        <v>45</v>
      </c>
      <c r="O1" s="69" t="s">
        <v>338</v>
      </c>
      <c r="P1" s="69" t="s">
        <v>453</v>
      </c>
      <c r="Q1" s="69" t="s">
        <v>454</v>
      </c>
      <c r="R1" s="69" t="s">
        <v>455</v>
      </c>
      <c r="S1" s="30" t="s">
        <v>339</v>
      </c>
      <c r="T1" s="31" t="s">
        <v>340</v>
      </c>
    </row>
    <row r="2" spans="1:21" s="82" customFormat="1" ht="15.75" customHeight="1">
      <c r="A2" s="42" t="s">
        <v>570</v>
      </c>
      <c r="B2" s="42"/>
      <c r="C2" s="84"/>
      <c r="D2" s="80"/>
      <c r="E2" s="80"/>
      <c r="F2" s="42"/>
      <c r="G2" s="42"/>
      <c r="H2" s="81" t="s">
        <v>564</v>
      </c>
      <c r="I2" s="33" t="s">
        <v>260</v>
      </c>
      <c r="J2" s="33" t="s">
        <v>559</v>
      </c>
      <c r="K2" s="33" t="s">
        <v>560</v>
      </c>
      <c r="L2" s="33" t="s">
        <v>561</v>
      </c>
      <c r="M2" s="33" t="s">
        <v>110</v>
      </c>
      <c r="N2" s="33" t="s">
        <v>111</v>
      </c>
      <c r="O2" s="33" t="s">
        <v>112</v>
      </c>
      <c r="P2" s="33" t="s">
        <v>116</v>
      </c>
      <c r="Q2" s="33" t="s">
        <v>117</v>
      </c>
      <c r="R2" s="33" t="s">
        <v>118</v>
      </c>
      <c r="S2" s="42"/>
      <c r="T2" s="81"/>
    </row>
    <row r="3" spans="1:21" ht="101.25" customHeight="1">
      <c r="A3" s="23">
        <v>1</v>
      </c>
      <c r="B3" s="83">
        <v>1</v>
      </c>
      <c r="D3" s="58" t="s">
        <v>341</v>
      </c>
      <c r="E3" s="58" t="s">
        <v>449</v>
      </c>
      <c r="F3" s="25" t="s">
        <v>519</v>
      </c>
      <c r="G3" s="60"/>
      <c r="H3" s="28">
        <v>1</v>
      </c>
      <c r="I3" s="22" t="s">
        <v>515</v>
      </c>
      <c r="J3" s="22" t="s">
        <v>529</v>
      </c>
      <c r="O3" s="24" t="s">
        <v>348</v>
      </c>
      <c r="P3" s="24"/>
      <c r="Q3" s="24"/>
      <c r="R3" s="24"/>
      <c r="S3" s="23" t="s">
        <v>333</v>
      </c>
      <c r="T3" s="23" t="s">
        <v>333</v>
      </c>
      <c r="U3" s="83"/>
    </row>
    <row r="4" spans="1:21" ht="33.75" customHeight="1">
      <c r="A4" s="23">
        <v>1</v>
      </c>
      <c r="B4" s="83">
        <v>1</v>
      </c>
      <c r="D4" s="6" t="s">
        <v>299</v>
      </c>
      <c r="E4" s="6"/>
      <c r="F4" s="24" t="s">
        <v>518</v>
      </c>
      <c r="G4" s="28" t="s">
        <v>528</v>
      </c>
      <c r="H4" s="28">
        <v>2</v>
      </c>
      <c r="I4" s="24" t="s">
        <v>494</v>
      </c>
      <c r="J4" s="24" t="s">
        <v>497</v>
      </c>
      <c r="O4" s="24" t="s">
        <v>344</v>
      </c>
      <c r="P4" s="24"/>
      <c r="Q4" s="24"/>
      <c r="R4" s="24"/>
      <c r="S4" s="23" t="s">
        <v>333</v>
      </c>
      <c r="T4" s="23" t="s">
        <v>333</v>
      </c>
    </row>
    <row r="5" spans="1:21" ht="40.5">
      <c r="A5" s="23">
        <v>1</v>
      </c>
      <c r="B5" s="83">
        <v>1</v>
      </c>
      <c r="D5" s="6" t="s">
        <v>387</v>
      </c>
      <c r="E5" s="6"/>
      <c r="F5" s="22" t="s">
        <v>517</v>
      </c>
      <c r="H5" s="28">
        <v>3</v>
      </c>
      <c r="I5" s="24" t="s">
        <v>301</v>
      </c>
      <c r="J5" s="24" t="s">
        <v>539</v>
      </c>
      <c r="K5" s="24" t="s">
        <v>495</v>
      </c>
      <c r="L5" s="24" t="s">
        <v>496</v>
      </c>
      <c r="M5" s="24" t="s">
        <v>482</v>
      </c>
      <c r="N5" s="24" t="s">
        <v>538</v>
      </c>
      <c r="O5" s="24"/>
      <c r="P5" s="24"/>
      <c r="Q5" s="24"/>
      <c r="R5" s="24"/>
      <c r="S5" s="23" t="s">
        <v>333</v>
      </c>
    </row>
    <row r="6" spans="1:21" ht="40.5">
      <c r="A6" s="23">
        <v>1</v>
      </c>
      <c r="B6" s="83">
        <v>1</v>
      </c>
      <c r="D6" s="6" t="s">
        <v>491</v>
      </c>
      <c r="E6" s="6"/>
      <c r="H6" s="28">
        <v>31</v>
      </c>
      <c r="I6" s="22" t="s">
        <v>439</v>
      </c>
      <c r="J6" s="22" t="s">
        <v>364</v>
      </c>
      <c r="K6" s="24" t="s">
        <v>572</v>
      </c>
      <c r="L6" s="22" t="s">
        <v>366</v>
      </c>
      <c r="M6" s="22" t="s">
        <v>367</v>
      </c>
      <c r="N6" s="22" t="s">
        <v>368</v>
      </c>
      <c r="O6" s="24"/>
      <c r="P6" s="24"/>
      <c r="Q6" s="24"/>
      <c r="R6" s="24"/>
    </row>
    <row r="7" spans="1:21" ht="81">
      <c r="A7" s="23">
        <v>1</v>
      </c>
      <c r="B7" s="83">
        <v>1</v>
      </c>
      <c r="C7" s="28" t="s">
        <v>378</v>
      </c>
      <c r="D7" s="58" t="s">
        <v>313</v>
      </c>
      <c r="E7" s="58" t="s">
        <v>441</v>
      </c>
      <c r="F7" s="24" t="s">
        <v>516</v>
      </c>
      <c r="G7" s="28" t="s">
        <v>333</v>
      </c>
      <c r="H7" s="28">
        <v>5</v>
      </c>
      <c r="I7" s="24" t="s">
        <v>499</v>
      </c>
      <c r="J7" s="24" t="s">
        <v>728</v>
      </c>
      <c r="K7" s="24"/>
      <c r="O7" s="24" t="s">
        <v>346</v>
      </c>
      <c r="P7" s="24"/>
      <c r="Q7" s="24"/>
      <c r="R7" s="24"/>
      <c r="S7" s="23" t="s">
        <v>333</v>
      </c>
      <c r="T7" s="23" t="s">
        <v>333</v>
      </c>
    </row>
    <row r="8" spans="1:21" ht="47.25" customHeight="1">
      <c r="A8" s="23">
        <v>1</v>
      </c>
      <c r="B8" s="83">
        <v>1</v>
      </c>
      <c r="D8" s="6" t="s">
        <v>727</v>
      </c>
      <c r="E8" s="58" t="s">
        <v>440</v>
      </c>
      <c r="F8" s="24" t="s">
        <v>481</v>
      </c>
      <c r="G8" s="28" t="s">
        <v>122</v>
      </c>
      <c r="H8" s="28">
        <v>6</v>
      </c>
      <c r="I8" s="24" t="s">
        <v>300</v>
      </c>
      <c r="O8" s="24" t="s">
        <v>345</v>
      </c>
      <c r="P8" s="24"/>
      <c r="Q8" s="24"/>
      <c r="R8" s="24"/>
      <c r="S8" s="23" t="s">
        <v>333</v>
      </c>
      <c r="T8" s="23" t="s">
        <v>333</v>
      </c>
    </row>
    <row r="9" spans="1:21" ht="50.25" customHeight="1">
      <c r="A9" s="23">
        <v>1</v>
      </c>
      <c r="B9" s="83">
        <v>1</v>
      </c>
      <c r="C9" s="28" t="s">
        <v>450</v>
      </c>
      <c r="D9" s="6" t="s">
        <v>452</v>
      </c>
      <c r="E9" s="58" t="s">
        <v>451</v>
      </c>
      <c r="F9" s="25" t="s">
        <v>541</v>
      </c>
      <c r="G9" s="28" t="s">
        <v>122</v>
      </c>
      <c r="H9" s="28">
        <v>7</v>
      </c>
      <c r="I9" s="24" t="s">
        <v>509</v>
      </c>
      <c r="J9" s="22" t="s">
        <v>546</v>
      </c>
      <c r="K9" s="24" t="s">
        <v>306</v>
      </c>
      <c r="O9" s="24" t="s">
        <v>344</v>
      </c>
      <c r="P9" s="24"/>
      <c r="Q9" s="24"/>
      <c r="R9" s="24"/>
      <c r="S9" s="23" t="s">
        <v>333</v>
      </c>
      <c r="T9" s="23" t="s">
        <v>333</v>
      </c>
    </row>
    <row r="10" spans="1:21" ht="121.5">
      <c r="A10" s="23">
        <v>1</v>
      </c>
      <c r="B10" s="83">
        <v>1</v>
      </c>
      <c r="C10" s="28" t="s">
        <v>377</v>
      </c>
      <c r="D10" s="6" t="s">
        <v>302</v>
      </c>
      <c r="E10" s="58" t="s">
        <v>540</v>
      </c>
      <c r="F10" s="25" t="s">
        <v>542</v>
      </c>
      <c r="G10" s="28" t="s">
        <v>543</v>
      </c>
      <c r="H10" s="28">
        <v>8</v>
      </c>
      <c r="I10" s="24" t="s">
        <v>544</v>
      </c>
      <c r="J10" s="22" t="s">
        <v>545</v>
      </c>
      <c r="K10" s="22" t="s">
        <v>522</v>
      </c>
      <c r="L10" s="24" t="s">
        <v>303</v>
      </c>
      <c r="M10" s="24" t="s">
        <v>521</v>
      </c>
      <c r="N10" s="24" t="s">
        <v>520</v>
      </c>
      <c r="O10" s="24" t="s">
        <v>349</v>
      </c>
      <c r="P10" s="24"/>
      <c r="Q10" s="24"/>
      <c r="R10" s="24"/>
      <c r="S10" s="23" t="s">
        <v>333</v>
      </c>
      <c r="T10" s="23" t="s">
        <v>333</v>
      </c>
    </row>
    <row r="11" spans="1:21" ht="108">
      <c r="A11" s="23">
        <v>1</v>
      </c>
      <c r="B11" s="83">
        <v>1</v>
      </c>
      <c r="C11" s="28" t="s">
        <v>377</v>
      </c>
      <c r="D11" s="6" t="s">
        <v>304</v>
      </c>
      <c r="E11" s="58" t="s">
        <v>427</v>
      </c>
      <c r="F11" s="25" t="s">
        <v>756</v>
      </c>
      <c r="G11" s="28" t="s">
        <v>360</v>
      </c>
      <c r="H11" s="28">
        <v>9</v>
      </c>
      <c r="I11" s="24" t="s">
        <v>513</v>
      </c>
      <c r="J11" s="22" t="s">
        <v>512</v>
      </c>
      <c r="K11" s="22" t="s">
        <v>514</v>
      </c>
      <c r="L11" s="24" t="s">
        <v>762</v>
      </c>
      <c r="M11" s="24" t="s">
        <v>763</v>
      </c>
      <c r="N11" s="24" t="s">
        <v>314</v>
      </c>
      <c r="O11" s="24" t="s">
        <v>346</v>
      </c>
      <c r="P11" s="24"/>
      <c r="Q11" s="24"/>
      <c r="R11" s="24"/>
      <c r="S11" s="23" t="s">
        <v>333</v>
      </c>
      <c r="T11" s="23" t="s">
        <v>333</v>
      </c>
    </row>
    <row r="12" spans="1:21" ht="67.5">
      <c r="A12" s="23">
        <v>3</v>
      </c>
      <c r="B12" s="83">
        <v>0</v>
      </c>
      <c r="D12" s="6" t="s">
        <v>305</v>
      </c>
      <c r="E12" s="6"/>
      <c r="F12" s="24" t="s">
        <v>524</v>
      </c>
      <c r="G12" s="28" t="s">
        <v>360</v>
      </c>
      <c r="H12" s="28">
        <v>10</v>
      </c>
      <c r="I12" s="24" t="s">
        <v>509</v>
      </c>
      <c r="J12" s="22" t="s">
        <v>510</v>
      </c>
      <c r="K12" s="22" t="s">
        <v>511</v>
      </c>
      <c r="O12" s="24" t="s">
        <v>345</v>
      </c>
      <c r="P12" s="24"/>
      <c r="Q12" s="24"/>
      <c r="R12" s="24"/>
      <c r="S12" s="23" t="s">
        <v>333</v>
      </c>
      <c r="T12" s="23" t="s">
        <v>333</v>
      </c>
    </row>
    <row r="13" spans="1:21" ht="40.5">
      <c r="A13" s="23">
        <v>1</v>
      </c>
      <c r="B13" s="83">
        <v>1</v>
      </c>
      <c r="D13" s="6" t="s">
        <v>356</v>
      </c>
      <c r="E13" s="6"/>
      <c r="F13" s="24" t="s">
        <v>523</v>
      </c>
      <c r="G13" s="28" t="s">
        <v>360</v>
      </c>
      <c r="H13" s="28">
        <v>11</v>
      </c>
      <c r="I13" s="24" t="s">
        <v>509</v>
      </c>
      <c r="J13" s="24" t="s">
        <v>508</v>
      </c>
      <c r="K13" s="24" t="s">
        <v>758</v>
      </c>
      <c r="L13" s="24" t="s">
        <v>764</v>
      </c>
      <c r="M13" s="24" t="s">
        <v>761</v>
      </c>
      <c r="O13" s="24" t="s">
        <v>350</v>
      </c>
      <c r="P13" s="24"/>
      <c r="Q13" s="24"/>
      <c r="R13" s="24"/>
    </row>
    <row r="14" spans="1:21" s="14" customFormat="1" ht="27">
      <c r="A14" s="9">
        <v>3</v>
      </c>
      <c r="B14" s="83">
        <v>0</v>
      </c>
      <c r="C14" s="18"/>
      <c r="D14" s="10" t="s">
        <v>307</v>
      </c>
      <c r="E14" s="10"/>
      <c r="F14" s="15" t="s">
        <v>525</v>
      </c>
      <c r="G14" s="18"/>
      <c r="H14" s="28">
        <v>12</v>
      </c>
      <c r="I14" s="15" t="s">
        <v>306</v>
      </c>
      <c r="J14" s="14" t="s">
        <v>315</v>
      </c>
      <c r="K14" s="14" t="s">
        <v>316</v>
      </c>
      <c r="L14" s="14" t="s">
        <v>317</v>
      </c>
      <c r="N14" s="15"/>
      <c r="O14" s="15" t="s">
        <v>347</v>
      </c>
      <c r="P14" s="15"/>
      <c r="Q14" s="15"/>
      <c r="R14" s="15"/>
      <c r="S14" s="9" t="s">
        <v>333</v>
      </c>
      <c r="T14" s="9" t="s">
        <v>333</v>
      </c>
    </row>
    <row r="15" spans="1:21" s="14" customFormat="1" ht="148.5">
      <c r="A15" s="9">
        <v>2</v>
      </c>
      <c r="B15" s="83">
        <v>0.5</v>
      </c>
      <c r="C15" s="18" t="s">
        <v>737</v>
      </c>
      <c r="D15" s="10" t="s">
        <v>469</v>
      </c>
      <c r="E15" s="10"/>
      <c r="F15" s="67" t="s">
        <v>526</v>
      </c>
      <c r="G15" s="68"/>
      <c r="H15" s="28">
        <v>32</v>
      </c>
      <c r="I15" s="15" t="s">
        <v>558</v>
      </c>
      <c r="J15" s="15" t="s">
        <v>507</v>
      </c>
      <c r="K15" s="11" t="s">
        <v>777</v>
      </c>
      <c r="L15" s="15" t="s">
        <v>504</v>
      </c>
      <c r="M15" s="15" t="s">
        <v>502</v>
      </c>
      <c r="N15" s="15" t="s">
        <v>503</v>
      </c>
      <c r="O15" s="15" t="s">
        <v>725</v>
      </c>
      <c r="P15" s="22"/>
      <c r="Q15" s="15"/>
      <c r="R15" s="15"/>
      <c r="S15" s="18"/>
      <c r="T15" s="26" t="s">
        <v>308</v>
      </c>
      <c r="U15" s="15"/>
    </row>
    <row r="16" spans="1:21" ht="120" customHeight="1">
      <c r="A16" s="23">
        <v>1</v>
      </c>
      <c r="B16" s="83">
        <v>1</v>
      </c>
      <c r="D16" s="6" t="s">
        <v>470</v>
      </c>
      <c r="E16" s="6"/>
      <c r="G16" s="68"/>
      <c r="H16" s="28">
        <v>16</v>
      </c>
      <c r="I16" s="15" t="s">
        <v>500</v>
      </c>
      <c r="J16" s="24" t="s">
        <v>457</v>
      </c>
      <c r="K16" s="15" t="s">
        <v>458</v>
      </c>
      <c r="L16" s="15" t="s">
        <v>456</v>
      </c>
      <c r="M16" s="15" t="s">
        <v>467</v>
      </c>
      <c r="N16" s="15" t="s">
        <v>466</v>
      </c>
      <c r="O16" s="24" t="s">
        <v>465</v>
      </c>
      <c r="P16" s="15" t="s">
        <v>501</v>
      </c>
      <c r="Q16" s="24"/>
      <c r="R16" s="24"/>
      <c r="T16" s="22"/>
    </row>
    <row r="17" spans="1:20" ht="81">
      <c r="A17" s="23">
        <v>2</v>
      </c>
      <c r="B17" s="83">
        <v>1</v>
      </c>
      <c r="D17" s="6" t="s">
        <v>318</v>
      </c>
      <c r="E17" s="6"/>
      <c r="F17" s="24" t="s">
        <v>729</v>
      </c>
      <c r="G17" s="28"/>
      <c r="H17" s="28">
        <v>17</v>
      </c>
      <c r="I17" s="24" t="s">
        <v>730</v>
      </c>
      <c r="J17" s="24" t="s">
        <v>557</v>
      </c>
      <c r="K17" s="24" t="s">
        <v>556</v>
      </c>
      <c r="L17" s="24" t="s">
        <v>555</v>
      </c>
      <c r="O17" s="24" t="s">
        <v>350</v>
      </c>
      <c r="P17" s="24"/>
      <c r="Q17" s="24"/>
      <c r="R17" s="24"/>
    </row>
    <row r="18" spans="1:20" ht="40.5">
      <c r="A18" s="23">
        <v>3</v>
      </c>
      <c r="B18" s="83">
        <v>0</v>
      </c>
      <c r="D18" s="6" t="s">
        <v>786</v>
      </c>
      <c r="E18" s="6"/>
      <c r="F18" s="24" t="s">
        <v>787</v>
      </c>
      <c r="H18" s="28">
        <v>13</v>
      </c>
      <c r="I18" s="27" t="s">
        <v>319</v>
      </c>
      <c r="J18" s="24" t="s">
        <v>783</v>
      </c>
      <c r="K18" s="24" t="s">
        <v>320</v>
      </c>
      <c r="O18" s="24" t="s">
        <v>350</v>
      </c>
      <c r="P18" s="24"/>
      <c r="Q18" s="24"/>
      <c r="R18" s="24"/>
      <c r="S18" s="23" t="s">
        <v>333</v>
      </c>
      <c r="T18" s="23" t="s">
        <v>333</v>
      </c>
    </row>
    <row r="19" spans="1:20" ht="81">
      <c r="A19" s="23">
        <v>2</v>
      </c>
      <c r="B19" s="83">
        <v>1</v>
      </c>
      <c r="D19" s="6" t="s">
        <v>461</v>
      </c>
      <c r="E19" s="6"/>
      <c r="F19" s="24" t="s">
        <v>505</v>
      </c>
      <c r="G19" s="28"/>
      <c r="H19" s="28">
        <v>14</v>
      </c>
      <c r="I19" s="24" t="s">
        <v>484</v>
      </c>
      <c r="J19" s="22" t="s">
        <v>493</v>
      </c>
      <c r="K19" s="24" t="s">
        <v>309</v>
      </c>
      <c r="L19" s="15" t="s">
        <v>506</v>
      </c>
      <c r="M19" s="24" t="s">
        <v>738</v>
      </c>
      <c r="N19" s="24" t="s">
        <v>757</v>
      </c>
      <c r="O19" s="24" t="s">
        <v>350</v>
      </c>
      <c r="P19" s="24"/>
      <c r="Q19" s="24"/>
      <c r="S19" s="23" t="s">
        <v>333</v>
      </c>
    </row>
    <row r="20" spans="1:20" s="76" customFormat="1" ht="67.5">
      <c r="A20" s="72">
        <v>5</v>
      </c>
      <c r="B20" s="83"/>
      <c r="C20" s="85"/>
      <c r="D20" s="73" t="s">
        <v>530</v>
      </c>
      <c r="E20" s="73"/>
      <c r="F20" s="74" t="s">
        <v>553</v>
      </c>
      <c r="G20" s="75"/>
      <c r="H20" s="75">
        <v>15</v>
      </c>
      <c r="I20" s="74" t="s">
        <v>485</v>
      </c>
      <c r="J20" s="76" t="s">
        <v>498</v>
      </c>
      <c r="K20" s="74" t="s">
        <v>532</v>
      </c>
      <c r="L20" s="77" t="s">
        <v>533</v>
      </c>
      <c r="O20" s="74" t="s">
        <v>534</v>
      </c>
      <c r="P20" s="74"/>
      <c r="Q20" s="74"/>
      <c r="S20" s="72" t="s">
        <v>333</v>
      </c>
      <c r="T20" s="72"/>
    </row>
    <row r="21" spans="1:20" ht="81">
      <c r="A21" s="23">
        <v>2</v>
      </c>
      <c r="B21" s="83">
        <v>1</v>
      </c>
      <c r="D21" s="6" t="s">
        <v>550</v>
      </c>
      <c r="E21" s="6"/>
      <c r="F21" s="24" t="s">
        <v>785</v>
      </c>
      <c r="G21" s="28"/>
      <c r="H21" s="28">
        <v>15</v>
      </c>
      <c r="I21" s="24" t="s">
        <v>548</v>
      </c>
      <c r="J21" s="22" t="s">
        <v>568</v>
      </c>
      <c r="K21" s="78" t="s">
        <v>726</v>
      </c>
      <c r="L21" s="79" t="s">
        <v>567</v>
      </c>
      <c r="M21" s="24" t="s">
        <v>535</v>
      </c>
      <c r="N21" s="24" t="s">
        <v>536</v>
      </c>
      <c r="O21" s="24" t="s">
        <v>795</v>
      </c>
      <c r="S21" s="23" t="s">
        <v>333</v>
      </c>
    </row>
    <row r="22" spans="1:20" ht="67.5">
      <c r="A22" s="23">
        <v>3</v>
      </c>
      <c r="B22" s="83">
        <v>0.5</v>
      </c>
      <c r="D22" s="6" t="s">
        <v>169</v>
      </c>
      <c r="E22" s="6"/>
      <c r="F22" s="24" t="s">
        <v>552</v>
      </c>
      <c r="G22" s="28"/>
      <c r="H22" s="28">
        <v>19</v>
      </c>
      <c r="I22" s="24" t="s">
        <v>548</v>
      </c>
      <c r="J22" s="22" t="s">
        <v>549</v>
      </c>
      <c r="K22" s="78" t="s">
        <v>551</v>
      </c>
      <c r="L22" s="79" t="s">
        <v>537</v>
      </c>
      <c r="S22" s="23" t="s">
        <v>122</v>
      </c>
    </row>
    <row r="23" spans="1:20" ht="121.5">
      <c r="A23" s="23">
        <v>2</v>
      </c>
      <c r="B23" s="83">
        <v>0.5</v>
      </c>
      <c r="C23" s="28" t="s">
        <v>796</v>
      </c>
      <c r="D23" s="6" t="s">
        <v>321</v>
      </c>
      <c r="E23" s="6"/>
      <c r="F23" s="24" t="s">
        <v>554</v>
      </c>
      <c r="G23" s="28" t="s">
        <v>483</v>
      </c>
      <c r="H23" s="28">
        <v>18</v>
      </c>
      <c r="I23" s="24" t="s">
        <v>753</v>
      </c>
      <c r="J23" s="24" t="s">
        <v>776</v>
      </c>
      <c r="K23" s="24" t="s">
        <v>357</v>
      </c>
      <c r="L23" s="24" t="s">
        <v>571</v>
      </c>
      <c r="M23" s="22" t="s">
        <v>322</v>
      </c>
      <c r="N23" s="22" t="s">
        <v>323</v>
      </c>
      <c r="O23" s="22" t="s">
        <v>324</v>
      </c>
      <c r="S23" s="28"/>
    </row>
    <row r="24" spans="1:20" ht="54">
      <c r="A24" s="23">
        <v>3</v>
      </c>
      <c r="B24" s="83">
        <v>0</v>
      </c>
      <c r="D24" s="6" t="s">
        <v>310</v>
      </c>
      <c r="E24" s="6"/>
      <c r="F24" s="25" t="s">
        <v>788</v>
      </c>
      <c r="G24" s="60"/>
      <c r="H24" s="28">
        <v>20</v>
      </c>
      <c r="I24" s="27" t="s">
        <v>358</v>
      </c>
      <c r="J24" s="24" t="s">
        <v>791</v>
      </c>
      <c r="O24" s="24" t="s">
        <v>344</v>
      </c>
      <c r="P24" s="24"/>
      <c r="Q24" s="24"/>
      <c r="R24" s="24"/>
      <c r="S24" s="23" t="s">
        <v>333</v>
      </c>
      <c r="T24" s="23" t="s">
        <v>333</v>
      </c>
    </row>
    <row r="25" spans="1:20" ht="54">
      <c r="A25" s="23">
        <v>3</v>
      </c>
      <c r="B25" s="83">
        <v>0</v>
      </c>
      <c r="D25" s="6" t="s">
        <v>311</v>
      </c>
      <c r="E25" s="6"/>
      <c r="F25" s="25" t="s">
        <v>789</v>
      </c>
      <c r="G25" s="60"/>
      <c r="H25" s="28">
        <v>21</v>
      </c>
      <c r="I25" s="27" t="s">
        <v>782</v>
      </c>
      <c r="J25" s="24" t="s">
        <v>790</v>
      </c>
      <c r="K25" s="24" t="s">
        <v>779</v>
      </c>
      <c r="O25" s="24" t="s">
        <v>344</v>
      </c>
      <c r="P25" s="24"/>
      <c r="Q25" s="24"/>
      <c r="R25" s="24"/>
      <c r="S25" s="23" t="s">
        <v>333</v>
      </c>
      <c r="T25" s="23" t="s">
        <v>333</v>
      </c>
    </row>
    <row r="26" spans="1:20">
      <c r="A26" s="23">
        <v>3</v>
      </c>
      <c r="B26" s="83">
        <v>0</v>
      </c>
      <c r="D26" s="6" t="s">
        <v>342</v>
      </c>
      <c r="E26" s="6"/>
      <c r="F26" s="22" t="s">
        <v>480</v>
      </c>
      <c r="H26" s="28">
        <v>22</v>
      </c>
    </row>
    <row r="27" spans="1:20" ht="27">
      <c r="A27" s="23">
        <v>3</v>
      </c>
      <c r="B27" s="83">
        <v>0</v>
      </c>
      <c r="D27" s="6" t="s">
        <v>343</v>
      </c>
      <c r="E27" s="6"/>
      <c r="F27" s="24" t="s">
        <v>752</v>
      </c>
      <c r="G27" s="28"/>
      <c r="H27" s="28">
        <v>23</v>
      </c>
    </row>
    <row r="28" spans="1:20">
      <c r="A28" s="23">
        <v>3</v>
      </c>
      <c r="B28" s="83">
        <v>0</v>
      </c>
      <c r="D28" s="6" t="s">
        <v>312</v>
      </c>
      <c r="E28" s="6"/>
      <c r="F28" s="22" t="s">
        <v>480</v>
      </c>
      <c r="H28" s="28">
        <v>24</v>
      </c>
    </row>
    <row r="29" spans="1:20" ht="54">
      <c r="A29" s="23">
        <v>3</v>
      </c>
      <c r="B29" s="83">
        <v>0</v>
      </c>
      <c r="D29" s="6" t="s">
        <v>780</v>
      </c>
      <c r="E29" s="6"/>
      <c r="F29" s="24" t="s">
        <v>781</v>
      </c>
      <c r="G29" s="28" t="s">
        <v>360</v>
      </c>
      <c r="H29" s="28">
        <v>25</v>
      </c>
      <c r="I29" s="24" t="s">
        <v>351</v>
      </c>
      <c r="J29" s="24" t="s">
        <v>352</v>
      </c>
      <c r="S29" s="28"/>
    </row>
    <row r="30" spans="1:20" ht="54">
      <c r="A30" s="23">
        <v>3</v>
      </c>
      <c r="B30" s="83">
        <v>0</v>
      </c>
      <c r="D30" s="6" t="s">
        <v>490</v>
      </c>
      <c r="E30" s="6"/>
      <c r="F30" s="24" t="s">
        <v>751</v>
      </c>
      <c r="G30" s="28"/>
      <c r="H30" s="28">
        <v>28</v>
      </c>
      <c r="I30" s="24" t="s">
        <v>331</v>
      </c>
      <c r="J30" s="24" t="s">
        <v>332</v>
      </c>
      <c r="S30" s="23" t="s">
        <v>333</v>
      </c>
      <c r="T30" s="23" t="s">
        <v>333</v>
      </c>
    </row>
    <row r="31" spans="1:20" ht="54">
      <c r="A31" s="23">
        <v>2</v>
      </c>
      <c r="B31" s="83">
        <v>1</v>
      </c>
      <c r="D31" s="6" t="s">
        <v>325</v>
      </c>
      <c r="E31" s="6"/>
      <c r="F31" s="24" t="s">
        <v>547</v>
      </c>
      <c r="G31" s="28"/>
      <c r="H31" s="28">
        <v>29</v>
      </c>
      <c r="I31" s="24" t="s">
        <v>569</v>
      </c>
      <c r="J31" s="24" t="s">
        <v>353</v>
      </c>
      <c r="K31" s="24" t="s">
        <v>565</v>
      </c>
    </row>
    <row r="32" spans="1:20">
      <c r="A32" s="23">
        <v>3</v>
      </c>
      <c r="B32" s="83">
        <v>0</v>
      </c>
      <c r="D32" s="6" t="s">
        <v>326</v>
      </c>
      <c r="E32" s="6"/>
      <c r="F32" s="22" t="s">
        <v>354</v>
      </c>
      <c r="G32" s="28" t="s">
        <v>360</v>
      </c>
      <c r="H32" s="28">
        <v>30</v>
      </c>
    </row>
    <row r="33" spans="1:20">
      <c r="A33" s="23">
        <v>4</v>
      </c>
      <c r="B33" s="83">
        <v>0</v>
      </c>
      <c r="D33" s="6" t="s">
        <v>327</v>
      </c>
      <c r="E33" s="6"/>
      <c r="F33" s="22" t="s">
        <v>355</v>
      </c>
      <c r="H33" s="28">
        <v>27</v>
      </c>
      <c r="I33" s="22" t="s">
        <v>328</v>
      </c>
      <c r="J33" s="22" t="s">
        <v>329</v>
      </c>
      <c r="K33" s="22" t="s">
        <v>330</v>
      </c>
      <c r="S33" s="23" t="s">
        <v>333</v>
      </c>
      <c r="T33" s="23" t="s">
        <v>333</v>
      </c>
    </row>
    <row r="34" spans="1:20" ht="40.5">
      <c r="A34" s="23">
        <v>3</v>
      </c>
      <c r="B34" s="83">
        <v>0</v>
      </c>
      <c r="D34" s="6" t="s">
        <v>767</v>
      </c>
      <c r="E34" s="6"/>
      <c r="F34" s="24" t="s">
        <v>768</v>
      </c>
      <c r="G34" s="28"/>
      <c r="H34" s="28">
        <v>34</v>
      </c>
      <c r="I34" s="24"/>
      <c r="J34" s="24"/>
      <c r="K34" s="24"/>
      <c r="S34" s="23" t="s">
        <v>333</v>
      </c>
      <c r="T34" s="23" t="s">
        <v>333</v>
      </c>
    </row>
    <row r="35" spans="1:20">
      <c r="B35" s="83">
        <v>0</v>
      </c>
      <c r="D35" s="6" t="s">
        <v>388</v>
      </c>
      <c r="E35" s="6"/>
      <c r="F35" s="24"/>
      <c r="G35" s="28"/>
      <c r="H35" s="28">
        <v>33</v>
      </c>
      <c r="I35" s="24"/>
    </row>
    <row r="36" spans="1:20" ht="81">
      <c r="A36" s="23">
        <v>2</v>
      </c>
      <c r="B36" s="83">
        <v>1</v>
      </c>
      <c r="D36" s="6" t="s">
        <v>772</v>
      </c>
      <c r="F36" s="24" t="s">
        <v>770</v>
      </c>
      <c r="H36" s="28">
        <v>35</v>
      </c>
      <c r="I36" s="24" t="s">
        <v>771</v>
      </c>
      <c r="J36" s="24" t="s">
        <v>744</v>
      </c>
      <c r="K36" s="24" t="s">
        <v>773</v>
      </c>
      <c r="L36" s="24" t="s">
        <v>774</v>
      </c>
      <c r="M36" s="24" t="s">
        <v>775</v>
      </c>
    </row>
    <row r="37" spans="1:20" ht="27">
      <c r="D37" s="6" t="s">
        <v>749</v>
      </c>
      <c r="H37" s="28">
        <v>36</v>
      </c>
      <c r="I37" s="24" t="s">
        <v>745</v>
      </c>
      <c r="J37" s="24" t="s">
        <v>746</v>
      </c>
      <c r="K37" s="24" t="s">
        <v>747</v>
      </c>
      <c r="L37" s="24" t="s">
        <v>748</v>
      </c>
    </row>
    <row r="42" spans="1:20">
      <c r="F42" s="24"/>
      <c r="G42" s="28"/>
    </row>
  </sheetData>
  <autoFilter ref="A1:A42"/>
  <phoneticPr fontId="2" type="noConversion"/>
  <conditionalFormatting sqref="A28 C28">
    <cfRule type="cellIs" dxfId="61" priority="84" operator="equal">
      <formula>3</formula>
    </cfRule>
    <cfRule type="cellIs" dxfId="60" priority="85" operator="equal">
      <formula>1</formula>
    </cfRule>
    <cfRule type="cellIs" dxfId="59" priority="86" operator="equal">
      <formula>2</formula>
    </cfRule>
    <cfRule type="cellIs" dxfId="58" priority="87" operator="equal">
      <formula>1</formula>
    </cfRule>
  </conditionalFormatting>
  <conditionalFormatting sqref="A4 C4">
    <cfRule type="cellIs" dxfId="57" priority="80" operator="equal">
      <formula>3</formula>
    </cfRule>
    <cfRule type="cellIs" dxfId="56" priority="81" operator="equal">
      <formula>1</formula>
    </cfRule>
    <cfRule type="cellIs" dxfId="55" priority="82" operator="equal">
      <formula>2</formula>
    </cfRule>
    <cfRule type="cellIs" dxfId="54" priority="83" operator="equal">
      <formula>1</formula>
    </cfRule>
  </conditionalFormatting>
  <conditionalFormatting sqref="A8 C8">
    <cfRule type="cellIs" dxfId="53" priority="76" operator="equal">
      <formula>3</formula>
    </cfRule>
    <cfRule type="cellIs" dxfId="52" priority="77" operator="equal">
      <formula>1</formula>
    </cfRule>
    <cfRule type="cellIs" dxfId="51" priority="78" operator="equal">
      <formula>2</formula>
    </cfRule>
    <cfRule type="cellIs" dxfId="50" priority="79" operator="equal">
      <formula>1</formula>
    </cfRule>
  </conditionalFormatting>
  <conditionalFormatting sqref="A11 C11">
    <cfRule type="cellIs" dxfId="49" priority="72" operator="equal">
      <formula>3</formula>
    </cfRule>
    <cfRule type="cellIs" dxfId="48" priority="73" operator="equal">
      <formula>1</formula>
    </cfRule>
    <cfRule type="cellIs" dxfId="47" priority="74" operator="equal">
      <formula>2</formula>
    </cfRule>
    <cfRule type="cellIs" dxfId="46" priority="75" operator="equal">
      <formula>1</formula>
    </cfRule>
  </conditionalFormatting>
  <conditionalFormatting sqref="L23:M23">
    <cfRule type="duplicateValues" dxfId="45" priority="70"/>
    <cfRule type="duplicateValues" dxfId="44" priority="71"/>
  </conditionalFormatting>
  <conditionalFormatting sqref="N23">
    <cfRule type="duplicateValues" dxfId="43" priority="68"/>
    <cfRule type="duplicateValues" dxfId="42" priority="69"/>
  </conditionalFormatting>
  <conditionalFormatting sqref="O23 R23">
    <cfRule type="duplicateValues" dxfId="41" priority="66"/>
    <cfRule type="duplicateValues" dxfId="40" priority="67"/>
  </conditionalFormatting>
  <conditionalFormatting sqref="Q23">
    <cfRule type="duplicateValues" dxfId="39" priority="64"/>
    <cfRule type="duplicateValues" dxfId="38" priority="65"/>
  </conditionalFormatting>
  <conditionalFormatting sqref="P23">
    <cfRule type="duplicateValues" dxfId="37" priority="62"/>
    <cfRule type="duplicateValues" dxfId="36" priority="63"/>
  </conditionalFormatting>
  <conditionalFormatting sqref="A20 C20">
    <cfRule type="cellIs" dxfId="35" priority="54" operator="equal">
      <formula>3</formula>
    </cfRule>
    <cfRule type="cellIs" dxfId="34" priority="55" operator="equal">
      <formula>1</formula>
    </cfRule>
    <cfRule type="cellIs" dxfId="33" priority="56" operator="equal">
      <formula>2</formula>
    </cfRule>
    <cfRule type="cellIs" dxfId="32" priority="57" operator="equal">
      <formula>1</formula>
    </cfRule>
  </conditionalFormatting>
  <conditionalFormatting sqref="A22 C22">
    <cfRule type="cellIs" dxfId="31" priority="50" operator="equal">
      <formula>3</formula>
    </cfRule>
    <cfRule type="cellIs" dxfId="30" priority="51" operator="equal">
      <formula>1</formula>
    </cfRule>
    <cfRule type="cellIs" dxfId="29" priority="52" operator="equal">
      <formula>2</formula>
    </cfRule>
    <cfRule type="cellIs" dxfId="28" priority="53" operator="equal">
      <formula>1</formula>
    </cfRule>
  </conditionalFormatting>
  <conditionalFormatting sqref="A34 C34">
    <cfRule type="cellIs" dxfId="27" priority="46" operator="equal">
      <formula>3</formula>
    </cfRule>
    <cfRule type="cellIs" dxfId="26" priority="47" operator="equal">
      <formula>1</formula>
    </cfRule>
    <cfRule type="cellIs" dxfId="25" priority="48" operator="equal">
      <formula>2</formula>
    </cfRule>
    <cfRule type="cellIs" dxfId="24" priority="49" operator="equal">
      <formula>1</formula>
    </cfRule>
  </conditionalFormatting>
  <conditionalFormatting sqref="B1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{F8965875-56D2-4A88-BE68-9C94BE6BFB21}</x14:id>
        </ext>
      </extLst>
    </cfRule>
  </conditionalFormatting>
  <conditionalFormatting sqref="B3:B35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{980435C9-5D0B-43B7-ABA8-020747E1882E}</x14:id>
        </ext>
      </extLst>
    </cfRule>
  </conditionalFormatting>
  <conditionalFormatting sqref="B3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{A2404221-8090-4ED9-8191-2871F64B5FC6}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965875-56D2-4A88-BE68-9C94BE6BF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B15</xm:sqref>
        </x14:conditionalFormatting>
        <x14:conditionalFormatting xmlns:xm="http://schemas.microsoft.com/office/excel/2006/main">
          <x14:cfRule type="dataBar" id="{980435C9-5D0B-43B7-ABA8-020747E188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B3:B35</xm:sqref>
        </x14:conditionalFormatting>
        <x14:conditionalFormatting xmlns:xm="http://schemas.microsoft.com/office/excel/2006/main">
          <x14:cfRule type="dataBar" id="{A2404221-8090-4ED9-8191-2871F64B5F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B36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5"/>
  <sheetViews>
    <sheetView workbookViewId="0">
      <selection activeCell="D33" sqref="D33"/>
    </sheetView>
  </sheetViews>
  <sheetFormatPr defaultRowHeight="13.5"/>
  <cols>
    <col min="1" max="1" width="11" bestFit="1" customWidth="1"/>
  </cols>
  <sheetData>
    <row r="1" spans="1:11">
      <c r="H1" t="s">
        <v>268</v>
      </c>
      <c r="I1" t="s">
        <v>269</v>
      </c>
      <c r="J1" t="s">
        <v>268</v>
      </c>
      <c r="K1" t="s">
        <v>269</v>
      </c>
    </row>
    <row r="2" spans="1:11">
      <c r="A2" t="s">
        <v>270</v>
      </c>
      <c r="B2" t="s">
        <v>271</v>
      </c>
      <c r="C2" s="29"/>
      <c r="D2" t="s">
        <v>272</v>
      </c>
      <c r="E2" t="s">
        <v>273</v>
      </c>
      <c r="F2" t="s">
        <v>274</v>
      </c>
      <c r="G2" t="s">
        <v>275</v>
      </c>
      <c r="H2" t="s">
        <v>276</v>
      </c>
    </row>
    <row r="3" spans="1:11">
      <c r="A3" t="s">
        <v>277</v>
      </c>
      <c r="B3" s="7" t="s">
        <v>278</v>
      </c>
      <c r="I3" t="s">
        <v>276</v>
      </c>
    </row>
    <row r="4" spans="1:11">
      <c r="A4" t="s">
        <v>277</v>
      </c>
      <c r="B4" s="7" t="s">
        <v>279</v>
      </c>
      <c r="I4" t="s">
        <v>276</v>
      </c>
    </row>
    <row r="5" spans="1:11">
      <c r="A5" t="s">
        <v>277</v>
      </c>
      <c r="B5" s="7" t="s">
        <v>280</v>
      </c>
      <c r="I5" t="s">
        <v>276</v>
      </c>
    </row>
    <row r="6" spans="1:11">
      <c r="A6" t="s">
        <v>277</v>
      </c>
      <c r="B6" s="7" t="s">
        <v>281</v>
      </c>
      <c r="I6" t="s">
        <v>276</v>
      </c>
    </row>
    <row r="7" spans="1:11">
      <c r="A7" t="s">
        <v>277</v>
      </c>
      <c r="B7" s="7" t="s">
        <v>282</v>
      </c>
      <c r="I7" t="s">
        <v>276</v>
      </c>
    </row>
    <row r="8" spans="1:11">
      <c r="A8" t="s">
        <v>277</v>
      </c>
      <c r="B8" s="7" t="s">
        <v>283</v>
      </c>
      <c r="I8" t="s">
        <v>276</v>
      </c>
    </row>
    <row r="9" spans="1:11">
      <c r="A9" t="s">
        <v>277</v>
      </c>
      <c r="B9" s="7" t="s">
        <v>284</v>
      </c>
      <c r="I9" t="s">
        <v>276</v>
      </c>
    </row>
    <row r="10" spans="1:11">
      <c r="A10" t="s">
        <v>277</v>
      </c>
      <c r="B10" s="7" t="s">
        <v>285</v>
      </c>
      <c r="I10" t="s">
        <v>276</v>
      </c>
    </row>
    <row r="11" spans="1:11">
      <c r="A11" t="s">
        <v>277</v>
      </c>
      <c r="B11" s="10" t="s">
        <v>286</v>
      </c>
      <c r="I11" t="s">
        <v>276</v>
      </c>
    </row>
    <row r="12" spans="1:11">
      <c r="A12" t="s">
        <v>277</v>
      </c>
      <c r="B12" s="10" t="s">
        <v>287</v>
      </c>
      <c r="I12" t="s">
        <v>276</v>
      </c>
    </row>
    <row r="14" spans="1:11">
      <c r="A14" t="s">
        <v>277</v>
      </c>
      <c r="B14" t="s">
        <v>288</v>
      </c>
      <c r="D14" t="s">
        <v>289</v>
      </c>
      <c r="E14" t="s">
        <v>273</v>
      </c>
      <c r="F14" t="s">
        <v>290</v>
      </c>
      <c r="G14" t="s">
        <v>275</v>
      </c>
      <c r="J14" t="s">
        <v>291</v>
      </c>
    </row>
    <row r="15" spans="1:11">
      <c r="A15" t="s">
        <v>292</v>
      </c>
      <c r="B15" s="7" t="s">
        <v>293</v>
      </c>
      <c r="C15" s="29"/>
      <c r="D15" t="s">
        <v>289</v>
      </c>
      <c r="E15" t="s">
        <v>273</v>
      </c>
      <c r="F15" t="s">
        <v>290</v>
      </c>
      <c r="G15" t="s">
        <v>275</v>
      </c>
      <c r="H15" t="s">
        <v>276</v>
      </c>
      <c r="K15" t="s">
        <v>291</v>
      </c>
    </row>
    <row r="16" spans="1:11">
      <c r="A16" t="s">
        <v>292</v>
      </c>
      <c r="B16" s="7" t="s">
        <v>278</v>
      </c>
      <c r="I16" t="s">
        <v>276</v>
      </c>
      <c r="K16" t="s">
        <v>291</v>
      </c>
    </row>
    <row r="17" spans="1:11">
      <c r="A17" t="s">
        <v>292</v>
      </c>
      <c r="B17" s="7" t="s">
        <v>279</v>
      </c>
      <c r="I17" t="s">
        <v>276</v>
      </c>
      <c r="K17" t="s">
        <v>291</v>
      </c>
    </row>
    <row r="18" spans="1:11">
      <c r="A18" t="s">
        <v>292</v>
      </c>
      <c r="B18" s="7" t="s">
        <v>280</v>
      </c>
      <c r="I18" t="s">
        <v>276</v>
      </c>
      <c r="K18" t="s">
        <v>291</v>
      </c>
    </row>
    <row r="19" spans="1:11">
      <c r="A19" t="s">
        <v>292</v>
      </c>
      <c r="B19" s="7" t="s">
        <v>281</v>
      </c>
      <c r="I19" t="s">
        <v>276</v>
      </c>
      <c r="K19" t="s">
        <v>291</v>
      </c>
    </row>
    <row r="20" spans="1:11">
      <c r="A20" t="s">
        <v>292</v>
      </c>
      <c r="B20" s="7" t="s">
        <v>282</v>
      </c>
      <c r="I20" t="s">
        <v>276</v>
      </c>
      <c r="K20" t="s">
        <v>291</v>
      </c>
    </row>
    <row r="21" spans="1:11">
      <c r="A21" t="s">
        <v>292</v>
      </c>
      <c r="B21" s="7" t="s">
        <v>283</v>
      </c>
      <c r="I21" t="s">
        <v>276</v>
      </c>
      <c r="K21" t="s">
        <v>291</v>
      </c>
    </row>
    <row r="22" spans="1:11">
      <c r="A22" t="s">
        <v>292</v>
      </c>
      <c r="B22" s="7" t="s">
        <v>284</v>
      </c>
      <c r="I22" t="s">
        <v>276</v>
      </c>
      <c r="K22" t="s">
        <v>291</v>
      </c>
    </row>
    <row r="23" spans="1:11">
      <c r="A23" t="s">
        <v>292</v>
      </c>
      <c r="B23" s="7" t="s">
        <v>285</v>
      </c>
      <c r="I23" t="s">
        <v>276</v>
      </c>
      <c r="K23" t="s">
        <v>291</v>
      </c>
    </row>
    <row r="24" spans="1:11">
      <c r="A24" t="s">
        <v>292</v>
      </c>
      <c r="B24" s="10" t="s">
        <v>286</v>
      </c>
      <c r="I24" t="s">
        <v>276</v>
      </c>
      <c r="K24" t="s">
        <v>291</v>
      </c>
    </row>
    <row r="25" spans="1:11">
      <c r="A25" t="s">
        <v>292</v>
      </c>
      <c r="B25" s="10" t="s">
        <v>287</v>
      </c>
      <c r="I25" t="s">
        <v>276</v>
      </c>
      <c r="K25" t="s">
        <v>291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C39"/>
  <sheetViews>
    <sheetView workbookViewId="0">
      <selection activeCell="B20" sqref="B20"/>
    </sheetView>
  </sheetViews>
  <sheetFormatPr defaultRowHeight="13.5"/>
  <cols>
    <col min="2" max="2" width="13.875" bestFit="1" customWidth="1"/>
    <col min="3" max="3" width="13" bestFit="1" customWidth="1"/>
  </cols>
  <sheetData>
    <row r="2" spans="2:3">
      <c r="B2" s="2" t="s">
        <v>12</v>
      </c>
      <c r="C2" s="1" t="s">
        <v>11</v>
      </c>
    </row>
    <row r="3" spans="2:3">
      <c r="B3" s="2" t="s">
        <v>37</v>
      </c>
      <c r="C3" s="1" t="s">
        <v>10</v>
      </c>
    </row>
    <row r="4" spans="2:3">
      <c r="B4" s="2" t="s">
        <v>13</v>
      </c>
      <c r="C4" s="1" t="s">
        <v>1</v>
      </c>
    </row>
    <row r="5" spans="2:3">
      <c r="B5" s="2" t="s">
        <v>14</v>
      </c>
      <c r="C5" s="1" t="s">
        <v>2</v>
      </c>
    </row>
    <row r="6" spans="2:3">
      <c r="B6" s="2" t="s">
        <v>15</v>
      </c>
      <c r="C6" s="1" t="s">
        <v>3</v>
      </c>
    </row>
    <row r="7" spans="2:3">
      <c r="B7" s="2" t="s">
        <v>16</v>
      </c>
      <c r="C7" s="1" t="s">
        <v>4</v>
      </c>
    </row>
    <row r="8" spans="2:3">
      <c r="B8" s="2" t="s">
        <v>17</v>
      </c>
      <c r="C8" s="1" t="s">
        <v>5</v>
      </c>
    </row>
    <row r="9" spans="2:3">
      <c r="B9" s="2" t="s">
        <v>18</v>
      </c>
      <c r="C9" s="1" t="s">
        <v>6</v>
      </c>
    </row>
    <row r="10" spans="2:3">
      <c r="B10" s="2" t="s">
        <v>19</v>
      </c>
      <c r="C10" s="1" t="s">
        <v>7</v>
      </c>
    </row>
    <row r="11" spans="2:3">
      <c r="B11" s="2" t="s">
        <v>20</v>
      </c>
      <c r="C11" s="1" t="s">
        <v>8</v>
      </c>
    </row>
    <row r="12" spans="2:3">
      <c r="B12" s="2" t="s">
        <v>103</v>
      </c>
      <c r="C12" s="1" t="s">
        <v>9</v>
      </c>
    </row>
    <row r="17" spans="2:3">
      <c r="B17" s="2" t="s">
        <v>104</v>
      </c>
      <c r="C17" s="1" t="s">
        <v>0</v>
      </c>
    </row>
    <row r="18" spans="2:3">
      <c r="B18" s="2" t="s">
        <v>38</v>
      </c>
      <c r="C18" s="1" t="s">
        <v>21</v>
      </c>
    </row>
    <row r="19" spans="2:3">
      <c r="B19" s="2" t="s">
        <v>106</v>
      </c>
      <c r="C19" s="1" t="s">
        <v>23</v>
      </c>
    </row>
    <row r="20" spans="2:3">
      <c r="B20" s="2" t="s">
        <v>91</v>
      </c>
      <c r="C20" s="1" t="s">
        <v>24</v>
      </c>
    </row>
    <row r="21" spans="2:3">
      <c r="B21" s="2" t="s">
        <v>92</v>
      </c>
      <c r="C21" s="1" t="s">
        <v>25</v>
      </c>
    </row>
    <row r="22" spans="2:3">
      <c r="B22" s="2" t="s">
        <v>93</v>
      </c>
      <c r="C22" s="1" t="s">
        <v>26</v>
      </c>
    </row>
    <row r="23" spans="2:3">
      <c r="B23" s="2" t="s">
        <v>94</v>
      </c>
      <c r="C23" s="1" t="s">
        <v>27</v>
      </c>
    </row>
    <row r="24" spans="2:3">
      <c r="B24" s="2" t="s">
        <v>110</v>
      </c>
      <c r="C24" s="1" t="s">
        <v>107</v>
      </c>
    </row>
    <row r="25" spans="2:3">
      <c r="B25" s="2" t="s">
        <v>111</v>
      </c>
      <c r="C25" s="1" t="s">
        <v>108</v>
      </c>
    </row>
    <row r="26" spans="2:3">
      <c r="B26" s="2" t="s">
        <v>112</v>
      </c>
      <c r="C26" s="1" t="s">
        <v>109</v>
      </c>
    </row>
    <row r="27" spans="2:3">
      <c r="B27" s="2" t="s">
        <v>116</v>
      </c>
      <c r="C27" s="1" t="s">
        <v>113</v>
      </c>
    </row>
    <row r="28" spans="2:3">
      <c r="B28" s="2" t="s">
        <v>117</v>
      </c>
      <c r="C28" s="1" t="s">
        <v>114</v>
      </c>
    </row>
    <row r="29" spans="2:3">
      <c r="B29" s="2" t="s">
        <v>118</v>
      </c>
      <c r="C29" s="1" t="s">
        <v>115</v>
      </c>
    </row>
    <row r="30" spans="2:3">
      <c r="B30" s="2" t="s">
        <v>102</v>
      </c>
      <c r="C30" s="1" t="s">
        <v>28</v>
      </c>
    </row>
    <row r="31" spans="2:3">
      <c r="B31" s="2" t="s">
        <v>105</v>
      </c>
      <c r="C31" s="1" t="s">
        <v>29</v>
      </c>
    </row>
    <row r="32" spans="2:3">
      <c r="B32" s="2" t="s">
        <v>206</v>
      </c>
      <c r="C32" s="1" t="s">
        <v>30</v>
      </c>
    </row>
    <row r="33" spans="2:3">
      <c r="B33" s="2" t="s">
        <v>96</v>
      </c>
      <c r="C33" s="1" t="s">
        <v>31</v>
      </c>
    </row>
    <row r="34" spans="2:3">
      <c r="B34" s="2" t="s">
        <v>95</v>
      </c>
      <c r="C34" s="1" t="s">
        <v>32</v>
      </c>
    </row>
    <row r="35" spans="2:3">
      <c r="B35" s="2" t="s">
        <v>97</v>
      </c>
      <c r="C35" s="1" t="s">
        <v>33</v>
      </c>
    </row>
    <row r="36" spans="2:3">
      <c r="B36" s="2" t="s">
        <v>98</v>
      </c>
      <c r="C36" s="1" t="s">
        <v>34</v>
      </c>
    </row>
    <row r="37" spans="2:3">
      <c r="B37" s="2" t="s">
        <v>99</v>
      </c>
      <c r="C37" s="1" t="s">
        <v>22</v>
      </c>
    </row>
    <row r="38" spans="2:3">
      <c r="B38" s="2" t="s">
        <v>100</v>
      </c>
      <c r="C38" s="1" t="s">
        <v>35</v>
      </c>
    </row>
    <row r="39" spans="2:3">
      <c r="B39" s="2" t="s">
        <v>101</v>
      </c>
      <c r="C39" s="1" t="s">
        <v>36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"/>
  <sheetViews>
    <sheetView workbookViewId="0">
      <selection activeCell="C41" sqref="C41"/>
    </sheetView>
  </sheetViews>
  <sheetFormatPr defaultRowHeight="13.5"/>
  <cols>
    <col min="3" max="3" width="9.875" customWidth="1"/>
    <col min="4" max="4" width="39" style="66" customWidth="1"/>
  </cols>
  <sheetData>
    <row r="1" spans="1:5" ht="29.25" customHeight="1">
      <c r="A1" s="30" t="s">
        <v>472</v>
      </c>
      <c r="B1" s="30" t="s">
        <v>471</v>
      </c>
      <c r="C1" s="3" t="s">
        <v>473</v>
      </c>
      <c r="D1" s="64" t="s">
        <v>474</v>
      </c>
      <c r="E1" s="3" t="s">
        <v>475</v>
      </c>
    </row>
    <row r="2" spans="1:5" s="23" customFormat="1">
      <c r="A2" s="23">
        <v>1</v>
      </c>
      <c r="B2" s="23">
        <v>1</v>
      </c>
      <c r="C2" s="63" t="s">
        <v>476</v>
      </c>
      <c r="D2" s="65" t="s">
        <v>477</v>
      </c>
    </row>
    <row r="3" spans="1:5">
      <c r="A3" s="23">
        <v>2</v>
      </c>
      <c r="B3" s="23">
        <v>2</v>
      </c>
      <c r="C3" s="63" t="s">
        <v>478</v>
      </c>
      <c r="D3" s="65" t="s">
        <v>479</v>
      </c>
      <c r="E3" s="23"/>
    </row>
  </sheetData>
  <phoneticPr fontId="2" type="noConversion"/>
  <conditionalFormatting sqref="A1:B1 A2:A3">
    <cfRule type="cellIs" dxfId="23" priority="1" operator="equal">
      <formula>3</formula>
    </cfRule>
    <cfRule type="cellIs" dxfId="22" priority="2" operator="equal">
      <formula>1</formula>
    </cfRule>
    <cfRule type="cellIs" dxfId="21" priority="3" operator="equal">
      <formula>2</formula>
    </cfRule>
    <cfRule type="cellIs" dxfId="20" priority="4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32"/>
  <sheetViews>
    <sheetView workbookViewId="0">
      <selection activeCell="C4" sqref="C4"/>
    </sheetView>
  </sheetViews>
  <sheetFormatPr defaultRowHeight="13.5"/>
  <cols>
    <col min="1" max="1" width="16.5" customWidth="1"/>
    <col min="2" max="2" width="14.625" customWidth="1"/>
    <col min="3" max="4" width="16.625" bestFit="1" customWidth="1"/>
    <col min="5" max="5" width="26.75" customWidth="1"/>
    <col min="6" max="6" width="16" customWidth="1"/>
    <col min="7" max="7" width="15.25" bestFit="1" customWidth="1"/>
    <col min="8" max="8" width="14.875" customWidth="1"/>
    <col min="10" max="10" width="16.375" customWidth="1"/>
    <col min="11" max="11" width="6.875" bestFit="1" customWidth="1"/>
    <col min="12" max="12" width="14.125" bestFit="1" customWidth="1"/>
    <col min="13" max="13" width="11.875" bestFit="1" customWidth="1"/>
  </cols>
  <sheetData>
    <row r="2" spans="1:14">
      <c r="C2" s="4" t="s">
        <v>119</v>
      </c>
      <c r="D2" s="3" t="s">
        <v>39</v>
      </c>
      <c r="E2" s="4" t="s">
        <v>40</v>
      </c>
      <c r="F2" s="4" t="s">
        <v>41</v>
      </c>
      <c r="G2" s="4" t="s">
        <v>120</v>
      </c>
      <c r="H2" s="4" t="s">
        <v>42</v>
      </c>
      <c r="I2" s="4" t="s">
        <v>43</v>
      </c>
      <c r="J2" s="4" t="s">
        <v>44</v>
      </c>
      <c r="K2" s="4" t="s">
        <v>45</v>
      </c>
      <c r="L2" s="4" t="s">
        <v>46</v>
      </c>
      <c r="M2" s="4" t="s">
        <v>121</v>
      </c>
      <c r="N2" s="5" t="s">
        <v>47</v>
      </c>
    </row>
    <row r="3" spans="1:14" s="8" customFormat="1" ht="54">
      <c r="A3" s="8" t="s">
        <v>208</v>
      </c>
      <c r="C3" s="9">
        <v>1</v>
      </c>
      <c r="D3" s="10" t="s">
        <v>48</v>
      </c>
      <c r="E3" s="11" t="s">
        <v>200</v>
      </c>
      <c r="F3" s="12" t="s">
        <v>198</v>
      </c>
      <c r="G3" s="13" t="s">
        <v>199</v>
      </c>
      <c r="H3" s="14"/>
      <c r="I3" s="14"/>
      <c r="J3" s="14"/>
      <c r="K3" s="14"/>
      <c r="L3" s="14"/>
      <c r="M3" s="9" t="s">
        <v>122</v>
      </c>
      <c r="N3" s="9" t="s">
        <v>122</v>
      </c>
    </row>
    <row r="4" spans="1:14" s="8" customFormat="1" ht="40.5">
      <c r="B4" s="8" t="s">
        <v>207</v>
      </c>
      <c r="C4" s="9">
        <v>1</v>
      </c>
      <c r="D4" s="10" t="s">
        <v>123</v>
      </c>
      <c r="E4" s="11" t="s">
        <v>49</v>
      </c>
      <c r="F4" s="15" t="s">
        <v>124</v>
      </c>
      <c r="G4" s="15" t="s">
        <v>125</v>
      </c>
      <c r="H4" s="14"/>
      <c r="I4" s="14"/>
      <c r="J4" s="14"/>
      <c r="K4" s="14"/>
      <c r="L4" s="14"/>
      <c r="M4" s="9" t="s">
        <v>122</v>
      </c>
      <c r="N4" s="9" t="s">
        <v>122</v>
      </c>
    </row>
    <row r="5" spans="1:14" s="8" customFormat="1" ht="40.5">
      <c r="B5" s="8" t="s">
        <v>207</v>
      </c>
      <c r="C5" s="9">
        <v>1</v>
      </c>
      <c r="D5" s="10" t="s">
        <v>126</v>
      </c>
      <c r="E5" s="11" t="s">
        <v>127</v>
      </c>
      <c r="F5" s="14" t="s">
        <v>128</v>
      </c>
      <c r="G5" s="15" t="s">
        <v>129</v>
      </c>
      <c r="H5" s="14" t="s">
        <v>130</v>
      </c>
      <c r="I5" s="15" t="s">
        <v>131</v>
      </c>
      <c r="J5" s="15" t="s">
        <v>132</v>
      </c>
      <c r="K5" s="14"/>
      <c r="L5" s="14"/>
      <c r="M5" s="9"/>
      <c r="N5" s="9"/>
    </row>
    <row r="6" spans="1:14" s="8" customFormat="1" ht="27">
      <c r="B6" s="8" t="s">
        <v>207</v>
      </c>
      <c r="C6" s="9">
        <v>1</v>
      </c>
      <c r="D6" s="10" t="s">
        <v>133</v>
      </c>
      <c r="E6" s="11" t="s">
        <v>50</v>
      </c>
      <c r="F6" s="14" t="s">
        <v>134</v>
      </c>
      <c r="G6" s="15" t="s">
        <v>135</v>
      </c>
      <c r="H6" s="14" t="s">
        <v>136</v>
      </c>
      <c r="I6" s="15" t="s">
        <v>135</v>
      </c>
      <c r="J6" s="14"/>
      <c r="K6" s="14"/>
      <c r="L6" s="14"/>
      <c r="M6" s="9"/>
      <c r="N6" s="9"/>
    </row>
    <row r="7" spans="1:14" s="8" customFormat="1" ht="27">
      <c r="B7" s="8" t="s">
        <v>207</v>
      </c>
      <c r="C7" s="9">
        <v>1</v>
      </c>
      <c r="D7" s="16" t="s">
        <v>137</v>
      </c>
      <c r="E7" s="11" t="s">
        <v>51</v>
      </c>
      <c r="F7" s="15" t="s">
        <v>138</v>
      </c>
      <c r="G7" s="12"/>
      <c r="H7" s="14"/>
      <c r="I7" s="14"/>
      <c r="J7" s="14"/>
      <c r="K7" s="14"/>
      <c r="L7" s="14"/>
      <c r="M7" s="9" t="s">
        <v>122</v>
      </c>
      <c r="N7" s="9" t="s">
        <v>122</v>
      </c>
    </row>
    <row r="8" spans="1:14" s="8" customFormat="1" ht="27">
      <c r="B8" s="8" t="s">
        <v>207</v>
      </c>
      <c r="C8" s="9">
        <v>1</v>
      </c>
      <c r="D8" s="16" t="s">
        <v>139</v>
      </c>
      <c r="E8" s="11" t="s">
        <v>52</v>
      </c>
      <c r="F8" s="15" t="s">
        <v>124</v>
      </c>
      <c r="G8" s="12"/>
      <c r="H8" s="14"/>
      <c r="I8" s="14"/>
      <c r="J8" s="14"/>
      <c r="K8" s="14"/>
      <c r="L8" s="14"/>
      <c r="M8" s="9" t="s">
        <v>122</v>
      </c>
      <c r="N8" s="9" t="s">
        <v>122</v>
      </c>
    </row>
    <row r="9" spans="1:14" s="8" customFormat="1" ht="40.5">
      <c r="B9" s="8" t="s">
        <v>207</v>
      </c>
      <c r="C9" s="9">
        <v>1</v>
      </c>
      <c r="D9" s="16" t="s">
        <v>140</v>
      </c>
      <c r="E9" s="11" t="s">
        <v>53</v>
      </c>
      <c r="F9" s="15" t="s">
        <v>407</v>
      </c>
      <c r="G9" s="14" t="s">
        <v>410</v>
      </c>
      <c r="H9" s="15" t="s">
        <v>141</v>
      </c>
      <c r="I9" s="14"/>
      <c r="J9" s="14"/>
      <c r="K9" s="14"/>
      <c r="L9" s="14"/>
      <c r="M9" s="9" t="s">
        <v>122</v>
      </c>
      <c r="N9" s="9" t="s">
        <v>122</v>
      </c>
    </row>
    <row r="10" spans="1:14" s="8" customFormat="1" ht="38.25" customHeight="1">
      <c r="A10" s="8" t="s">
        <v>208</v>
      </c>
      <c r="C10" s="9">
        <v>1</v>
      </c>
      <c r="D10" s="16" t="s">
        <v>142</v>
      </c>
      <c r="E10" s="11" t="s">
        <v>201</v>
      </c>
      <c r="F10" s="15" t="s">
        <v>407</v>
      </c>
      <c r="G10" s="14" t="s">
        <v>404</v>
      </c>
      <c r="H10" s="14" t="s">
        <v>408</v>
      </c>
      <c r="I10" s="15" t="s">
        <v>143</v>
      </c>
      <c r="J10" s="15" t="s">
        <v>144</v>
      </c>
      <c r="K10" s="14"/>
      <c r="L10" s="14"/>
      <c r="M10" s="9" t="s">
        <v>122</v>
      </c>
      <c r="N10" s="9" t="s">
        <v>122</v>
      </c>
    </row>
    <row r="11" spans="1:14" s="8" customFormat="1" ht="81">
      <c r="A11" s="8" t="s">
        <v>208</v>
      </c>
      <c r="C11" s="9">
        <v>1</v>
      </c>
      <c r="D11" s="16" t="s">
        <v>55</v>
      </c>
      <c r="E11" s="11" t="s">
        <v>56</v>
      </c>
      <c r="F11" s="15" t="s">
        <v>406</v>
      </c>
      <c r="G11" s="14" t="s">
        <v>404</v>
      </c>
      <c r="H11" s="14" t="s">
        <v>408</v>
      </c>
      <c r="I11" s="15" t="s">
        <v>54</v>
      </c>
      <c r="J11" s="15" t="s">
        <v>145</v>
      </c>
      <c r="K11" s="14"/>
      <c r="L11" s="14"/>
      <c r="M11" s="9" t="s">
        <v>146</v>
      </c>
      <c r="N11" s="9" t="s">
        <v>146</v>
      </c>
    </row>
    <row r="12" spans="1:14" s="8" customFormat="1">
      <c r="C12" s="9">
        <v>3</v>
      </c>
      <c r="D12" s="16" t="s">
        <v>147</v>
      </c>
      <c r="E12" s="11" t="s">
        <v>57</v>
      </c>
      <c r="F12" s="15" t="s">
        <v>406</v>
      </c>
      <c r="G12" s="14" t="s">
        <v>148</v>
      </c>
      <c r="H12" s="14"/>
      <c r="I12" s="14"/>
      <c r="J12" s="14"/>
      <c r="K12" s="14"/>
      <c r="L12" s="14"/>
      <c r="M12" s="9" t="s">
        <v>146</v>
      </c>
      <c r="N12" s="9" t="s">
        <v>146</v>
      </c>
    </row>
    <row r="13" spans="1:14" s="8" customFormat="1" ht="27">
      <c r="B13" s="8" t="s">
        <v>207</v>
      </c>
      <c r="C13" s="9">
        <v>1</v>
      </c>
      <c r="D13" s="16" t="s">
        <v>149</v>
      </c>
      <c r="E13" s="11" t="s">
        <v>58</v>
      </c>
      <c r="F13" s="15" t="s">
        <v>406</v>
      </c>
      <c r="G13" s="14" t="s">
        <v>408</v>
      </c>
      <c r="H13" s="15" t="s">
        <v>141</v>
      </c>
      <c r="I13" s="14"/>
      <c r="J13" s="14"/>
      <c r="K13" s="14"/>
      <c r="L13" s="14"/>
      <c r="M13" s="9"/>
      <c r="N13" s="9"/>
    </row>
    <row r="14" spans="1:14" s="8" customFormat="1" ht="27">
      <c r="B14" s="8" t="s">
        <v>207</v>
      </c>
      <c r="C14" s="9">
        <v>3</v>
      </c>
      <c r="D14" s="16" t="s">
        <v>150</v>
      </c>
      <c r="E14" s="11" t="s">
        <v>59</v>
      </c>
      <c r="F14" s="15"/>
      <c r="G14" s="14"/>
      <c r="H14" s="14"/>
      <c r="I14" s="14"/>
      <c r="J14" s="14"/>
      <c r="K14" s="14"/>
      <c r="L14" s="14"/>
      <c r="M14" s="9" t="s">
        <v>146</v>
      </c>
      <c r="N14" s="9" t="s">
        <v>146</v>
      </c>
    </row>
    <row r="15" spans="1:14" s="8" customFormat="1" ht="27">
      <c r="A15" s="8" t="s">
        <v>208</v>
      </c>
      <c r="C15" s="9">
        <v>2</v>
      </c>
      <c r="D15" s="16" t="s">
        <v>151</v>
      </c>
      <c r="E15" s="11" t="s">
        <v>57</v>
      </c>
      <c r="F15" s="17" t="s">
        <v>152</v>
      </c>
      <c r="G15" s="14" t="s">
        <v>153</v>
      </c>
      <c r="H15" s="15" t="s">
        <v>154</v>
      </c>
      <c r="I15" s="14"/>
      <c r="J15" s="14"/>
      <c r="K15" s="14"/>
      <c r="L15" s="14"/>
      <c r="M15" s="9" t="s">
        <v>146</v>
      </c>
      <c r="N15" s="9" t="s">
        <v>146</v>
      </c>
    </row>
    <row r="16" spans="1:14" s="8" customFormat="1" ht="40.5">
      <c r="B16" s="8" t="s">
        <v>207</v>
      </c>
      <c r="C16" s="9">
        <v>2</v>
      </c>
      <c r="D16" s="16" t="s">
        <v>155</v>
      </c>
      <c r="E16" s="11" t="s">
        <v>60</v>
      </c>
      <c r="F16" s="15" t="s">
        <v>128</v>
      </c>
      <c r="G16" s="14" t="s">
        <v>156</v>
      </c>
      <c r="I16" s="14"/>
      <c r="J16" s="14"/>
      <c r="K16" s="14"/>
      <c r="L16" s="14"/>
      <c r="M16" s="9" t="s">
        <v>146</v>
      </c>
      <c r="N16" s="9"/>
    </row>
    <row r="17" spans="1:14" s="8" customFormat="1">
      <c r="C17" s="9">
        <v>1</v>
      </c>
      <c r="D17" s="16" t="s">
        <v>157</v>
      </c>
      <c r="E17" s="11" t="s">
        <v>57</v>
      </c>
      <c r="F17" s="14"/>
      <c r="G17" s="14"/>
      <c r="H17" s="14"/>
      <c r="I17" s="14"/>
      <c r="J17" s="14"/>
      <c r="K17" s="14"/>
      <c r="L17" s="14"/>
      <c r="M17" s="9"/>
      <c r="N17" s="9"/>
    </row>
    <row r="18" spans="1:14" s="8" customFormat="1" ht="67.5">
      <c r="B18" s="8" t="s">
        <v>207</v>
      </c>
      <c r="C18" s="9">
        <v>1</v>
      </c>
      <c r="D18" s="16" t="s">
        <v>158</v>
      </c>
      <c r="E18" s="11"/>
      <c r="F18" s="14" t="s">
        <v>159</v>
      </c>
      <c r="G18" s="15" t="s">
        <v>160</v>
      </c>
      <c r="H18" s="15" t="s">
        <v>161</v>
      </c>
      <c r="I18" s="15" t="s">
        <v>154</v>
      </c>
      <c r="J18" s="15" t="s">
        <v>162</v>
      </c>
      <c r="K18" s="15" t="s">
        <v>163</v>
      </c>
      <c r="L18" s="15"/>
      <c r="M18" s="9"/>
      <c r="N18" s="9"/>
    </row>
    <row r="19" spans="1:14" s="8" customFormat="1" ht="40.5">
      <c r="B19" s="8" t="s">
        <v>207</v>
      </c>
      <c r="C19" s="9">
        <v>1</v>
      </c>
      <c r="D19" s="16" t="s">
        <v>164</v>
      </c>
      <c r="E19" s="11" t="s">
        <v>61</v>
      </c>
      <c r="F19" s="15"/>
      <c r="G19" s="14"/>
      <c r="H19" s="14"/>
      <c r="I19" s="14"/>
      <c r="J19" s="14"/>
      <c r="K19" s="14"/>
      <c r="L19" s="14"/>
      <c r="M19" s="9"/>
      <c r="N19" s="9"/>
    </row>
    <row r="20" spans="1:14" s="8" customFormat="1" ht="67.5">
      <c r="C20" s="9">
        <v>2</v>
      </c>
      <c r="D20" s="16" t="s">
        <v>165</v>
      </c>
      <c r="E20" s="11" t="s">
        <v>62</v>
      </c>
      <c r="F20" s="15" t="s">
        <v>166</v>
      </c>
      <c r="G20" s="15" t="s">
        <v>167</v>
      </c>
      <c r="H20" s="15" t="s">
        <v>168</v>
      </c>
      <c r="I20" s="14"/>
      <c r="J20" s="14"/>
      <c r="K20" s="14"/>
      <c r="L20" s="14"/>
      <c r="M20" s="18"/>
      <c r="N20" s="9"/>
    </row>
    <row r="21" spans="1:14" s="8" customFormat="1" ht="67.5">
      <c r="B21" s="8" t="s">
        <v>207</v>
      </c>
      <c r="C21" s="9">
        <v>2</v>
      </c>
      <c r="D21" s="16" t="s">
        <v>169</v>
      </c>
      <c r="E21" s="11" t="s">
        <v>202</v>
      </c>
      <c r="F21" s="15" t="s">
        <v>170</v>
      </c>
      <c r="G21" s="14" t="s">
        <v>171</v>
      </c>
      <c r="H21" s="15" t="s">
        <v>172</v>
      </c>
      <c r="I21" s="15" t="s">
        <v>173</v>
      </c>
      <c r="J21" s="15" t="s">
        <v>174</v>
      </c>
      <c r="K21" s="14"/>
      <c r="L21" s="14"/>
      <c r="M21" s="9" t="s">
        <v>146</v>
      </c>
      <c r="N21" s="9"/>
    </row>
    <row r="22" spans="1:14" s="8" customFormat="1" ht="40.5">
      <c r="A22" s="8" t="s">
        <v>208</v>
      </c>
      <c r="C22" s="9">
        <v>3</v>
      </c>
      <c r="D22" s="16" t="s">
        <v>175</v>
      </c>
      <c r="E22" s="11" t="s">
        <v>63</v>
      </c>
      <c r="F22" s="17" t="s">
        <v>176</v>
      </c>
      <c r="G22" s="14" t="s">
        <v>177</v>
      </c>
      <c r="H22" s="14"/>
      <c r="I22" s="14"/>
      <c r="J22" s="14"/>
      <c r="K22" s="14"/>
      <c r="L22" s="14"/>
      <c r="M22" s="9" t="s">
        <v>146</v>
      </c>
      <c r="N22" s="9" t="s">
        <v>146</v>
      </c>
    </row>
    <row r="23" spans="1:14" s="8" customFormat="1" ht="40.5">
      <c r="A23" s="8" t="s">
        <v>208</v>
      </c>
      <c r="C23" s="9">
        <v>3</v>
      </c>
      <c r="D23" s="16" t="s">
        <v>178</v>
      </c>
      <c r="E23" s="11" t="s">
        <v>64</v>
      </c>
      <c r="F23" s="17" t="s">
        <v>179</v>
      </c>
      <c r="G23" s="14" t="s">
        <v>180</v>
      </c>
      <c r="H23" s="14"/>
      <c r="I23" s="14"/>
      <c r="J23" s="14"/>
      <c r="K23" s="14"/>
      <c r="L23" s="14"/>
      <c r="M23" s="9" t="s">
        <v>146</v>
      </c>
      <c r="N23" s="9" t="s">
        <v>146</v>
      </c>
    </row>
    <row r="24" spans="1:14" s="8" customFormat="1">
      <c r="C24" s="19">
        <v>3</v>
      </c>
      <c r="D24" s="20" t="s">
        <v>181</v>
      </c>
      <c r="E24" s="11" t="s">
        <v>57</v>
      </c>
      <c r="F24" s="21"/>
      <c r="G24" s="21"/>
      <c r="H24" s="21"/>
      <c r="I24" s="21"/>
      <c r="J24" s="21"/>
      <c r="K24" s="21"/>
      <c r="L24" s="21"/>
      <c r="M24" s="19"/>
      <c r="N24" s="19"/>
    </row>
    <row r="25" spans="1:14" s="8" customFormat="1" ht="27">
      <c r="C25" s="9">
        <v>3</v>
      </c>
      <c r="D25" s="16" t="s">
        <v>182</v>
      </c>
      <c r="E25" s="11" t="s">
        <v>65</v>
      </c>
      <c r="F25" s="14"/>
      <c r="G25" s="14"/>
      <c r="H25" s="14"/>
      <c r="I25" s="14"/>
      <c r="J25" s="14"/>
      <c r="K25" s="14"/>
      <c r="L25" s="14"/>
      <c r="M25" s="9"/>
      <c r="N25" s="9"/>
    </row>
    <row r="26" spans="1:14" s="8" customFormat="1">
      <c r="C26" s="19">
        <v>3</v>
      </c>
      <c r="D26" s="20" t="s">
        <v>183</v>
      </c>
      <c r="E26" s="11" t="s">
        <v>203</v>
      </c>
      <c r="F26" s="21"/>
      <c r="G26" s="21"/>
      <c r="H26" s="21"/>
      <c r="I26" s="21"/>
      <c r="J26" s="21"/>
      <c r="K26" s="21"/>
      <c r="L26" s="21"/>
      <c r="M26" s="19"/>
      <c r="N26" s="19"/>
    </row>
    <row r="27" spans="1:14" s="8" customFormat="1" ht="54">
      <c r="C27" s="9">
        <v>3</v>
      </c>
      <c r="D27" s="16" t="s">
        <v>184</v>
      </c>
      <c r="E27" s="11" t="s">
        <v>66</v>
      </c>
      <c r="F27" s="15" t="s">
        <v>405</v>
      </c>
      <c r="G27" s="15" t="s">
        <v>185</v>
      </c>
      <c r="H27" s="14"/>
      <c r="I27" s="14"/>
      <c r="J27" s="14"/>
      <c r="K27" s="14"/>
      <c r="L27" s="14"/>
      <c r="M27" s="18"/>
      <c r="N27" s="9"/>
    </row>
    <row r="28" spans="1:14" s="8" customFormat="1" ht="54">
      <c r="C28" s="9">
        <v>3</v>
      </c>
      <c r="D28" s="16" t="s">
        <v>186</v>
      </c>
      <c r="E28" s="11" t="s">
        <v>67</v>
      </c>
      <c r="F28" s="15"/>
      <c r="G28" s="14"/>
      <c r="H28" s="14"/>
      <c r="I28" s="14"/>
      <c r="J28" s="14"/>
      <c r="K28" s="14"/>
      <c r="L28" s="14"/>
      <c r="M28" s="9" t="s">
        <v>146</v>
      </c>
      <c r="N28" s="9" t="s">
        <v>146</v>
      </c>
    </row>
    <row r="29" spans="1:14" s="8" customFormat="1" ht="27">
      <c r="C29" s="9">
        <v>3</v>
      </c>
      <c r="D29" s="16" t="s">
        <v>187</v>
      </c>
      <c r="E29" s="11" t="s">
        <v>204</v>
      </c>
      <c r="F29" s="14" t="s">
        <v>188</v>
      </c>
      <c r="G29" s="14" t="s">
        <v>189</v>
      </c>
      <c r="H29" s="14" t="s">
        <v>190</v>
      </c>
      <c r="I29" s="14"/>
      <c r="J29" s="14"/>
      <c r="K29" s="14"/>
      <c r="L29" s="14"/>
      <c r="M29" s="9" t="s">
        <v>146</v>
      </c>
      <c r="N29" s="9" t="s">
        <v>146</v>
      </c>
    </row>
    <row r="30" spans="1:14" s="8" customFormat="1" ht="54">
      <c r="C30" s="9">
        <v>3</v>
      </c>
      <c r="D30" s="16" t="s">
        <v>191</v>
      </c>
      <c r="E30" s="11" t="s">
        <v>205</v>
      </c>
      <c r="F30" s="15" t="s">
        <v>192</v>
      </c>
      <c r="G30" s="15" t="s">
        <v>193</v>
      </c>
      <c r="H30" s="14"/>
      <c r="I30" s="14"/>
      <c r="J30" s="14"/>
      <c r="K30" s="14"/>
      <c r="L30" s="14"/>
      <c r="M30" s="9" t="s">
        <v>146</v>
      </c>
      <c r="N30" s="9" t="s">
        <v>146</v>
      </c>
    </row>
    <row r="31" spans="1:14" s="8" customFormat="1" ht="54">
      <c r="C31" s="9">
        <v>3</v>
      </c>
      <c r="D31" s="16" t="s">
        <v>194</v>
      </c>
      <c r="E31" s="11" t="s">
        <v>68</v>
      </c>
      <c r="F31" s="15" t="s">
        <v>195</v>
      </c>
      <c r="G31" s="15" t="s">
        <v>196</v>
      </c>
      <c r="H31" s="14"/>
      <c r="I31" s="14"/>
      <c r="J31" s="14"/>
      <c r="K31" s="14"/>
      <c r="L31" s="14"/>
      <c r="M31" s="9"/>
      <c r="N31" s="9"/>
    </row>
    <row r="32" spans="1:14" s="8" customFormat="1">
      <c r="C32" s="9">
        <v>3</v>
      </c>
      <c r="D32" s="16" t="s">
        <v>197</v>
      </c>
      <c r="E32" s="11" t="s">
        <v>203</v>
      </c>
      <c r="F32" s="14"/>
      <c r="G32" s="14"/>
      <c r="H32" s="14"/>
      <c r="I32" s="14"/>
      <c r="J32" s="14"/>
      <c r="K32" s="14"/>
      <c r="L32" s="14"/>
      <c r="M32" s="9"/>
      <c r="N32" s="9"/>
    </row>
  </sheetData>
  <autoFilter ref="C2:C32"/>
  <phoneticPr fontId="2" type="noConversion"/>
  <conditionalFormatting sqref="C27:C32 C2:C3 C5:C7 C9:C10 C12:C25">
    <cfRule type="cellIs" dxfId="19" priority="17" operator="equal">
      <formula>3</formula>
    </cfRule>
    <cfRule type="cellIs" dxfId="18" priority="18" operator="equal">
      <formula>1</formula>
    </cfRule>
    <cfRule type="cellIs" dxfId="17" priority="19" operator="equal">
      <formula>2</formula>
    </cfRule>
    <cfRule type="cellIs" dxfId="16" priority="20" operator="equal">
      <formula>1</formula>
    </cfRule>
  </conditionalFormatting>
  <conditionalFormatting sqref="C26">
    <cfRule type="cellIs" dxfId="15" priority="13" operator="equal">
      <formula>3</formula>
    </cfRule>
    <cfRule type="cellIs" dxfId="14" priority="14" operator="equal">
      <formula>1</formula>
    </cfRule>
    <cfRule type="cellIs" dxfId="13" priority="15" operator="equal">
      <formula>2</formula>
    </cfRule>
    <cfRule type="cellIs" dxfId="12" priority="16" operator="equal">
      <formula>1</formula>
    </cfRule>
  </conditionalFormatting>
  <conditionalFormatting sqref="C4">
    <cfRule type="cellIs" dxfId="11" priority="9" operator="equal">
      <formula>3</formula>
    </cfRule>
    <cfRule type="cellIs" dxfId="10" priority="10" operator="equal">
      <formula>1</formula>
    </cfRule>
    <cfRule type="cellIs" dxfId="9" priority="11" operator="equal">
      <formula>2</formula>
    </cfRule>
    <cfRule type="cellIs" dxfId="8" priority="12" operator="equal">
      <formula>1</formula>
    </cfRule>
  </conditionalFormatting>
  <conditionalFormatting sqref="C8">
    <cfRule type="cellIs" dxfId="7" priority="5" operator="equal">
      <formula>3</formula>
    </cfRule>
    <cfRule type="cellIs" dxfId="6" priority="6" operator="equal">
      <formula>1</formula>
    </cfRule>
    <cfRule type="cellIs" dxfId="5" priority="7" operator="equal">
      <formula>2</formula>
    </cfRule>
    <cfRule type="cellIs" dxfId="4" priority="8" operator="equal">
      <formula>1</formula>
    </cfRule>
  </conditionalFormatting>
  <conditionalFormatting sqref="C11">
    <cfRule type="cellIs" dxfId="3" priority="1" operator="equal">
      <formula>3</formula>
    </cfRule>
    <cfRule type="cellIs" dxfId="2" priority="2" operator="equal">
      <formula>1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06"/>
  <sheetViews>
    <sheetView topLeftCell="A229" workbookViewId="0">
      <selection activeCell="O252" sqref="O252"/>
    </sheetView>
  </sheetViews>
  <sheetFormatPr defaultRowHeight="13.5"/>
  <cols>
    <col min="2" max="2" width="29.375" bestFit="1" customWidth="1"/>
  </cols>
  <sheetData>
    <row r="1" spans="1:2">
      <c r="A1" t="s">
        <v>574</v>
      </c>
      <c r="B1" t="s">
        <v>575</v>
      </c>
    </row>
    <row r="2" spans="1:2">
      <c r="B2" t="s">
        <v>644</v>
      </c>
    </row>
    <row r="3" spans="1:2">
      <c r="B3" t="s">
        <v>645</v>
      </c>
    </row>
    <row r="4" spans="1:2">
      <c r="B4" t="s">
        <v>578</v>
      </c>
    </row>
    <row r="5" spans="1:2">
      <c r="B5" t="s">
        <v>579</v>
      </c>
    </row>
    <row r="6" spans="1:2">
      <c r="B6" t="s">
        <v>580</v>
      </c>
    </row>
    <row r="7" spans="1:2">
      <c r="B7" t="s">
        <v>625</v>
      </c>
    </row>
    <row r="8" spans="1:2">
      <c r="B8" t="s">
        <v>626</v>
      </c>
    </row>
    <row r="9" spans="1:2">
      <c r="B9" t="s">
        <v>581</v>
      </c>
    </row>
    <row r="10" spans="1:2">
      <c r="B10" t="s">
        <v>582</v>
      </c>
    </row>
    <row r="11" spans="1:2">
      <c r="B11" t="s">
        <v>722</v>
      </c>
    </row>
    <row r="12" spans="1:2">
      <c r="B12" t="s">
        <v>584</v>
      </c>
    </row>
    <row r="13" spans="1:2">
      <c r="B13" t="s">
        <v>711</v>
      </c>
    </row>
    <row r="14" spans="1:2">
      <c r="B14" t="s">
        <v>585</v>
      </c>
    </row>
    <row r="15" spans="1:2">
      <c r="B15" t="s">
        <v>586</v>
      </c>
    </row>
    <row r="16" spans="1:2">
      <c r="B16" t="s">
        <v>587</v>
      </c>
    </row>
    <row r="17" spans="2:2">
      <c r="B17" t="s">
        <v>588</v>
      </c>
    </row>
    <row r="18" spans="2:2">
      <c r="B18" t="s">
        <v>589</v>
      </c>
    </row>
    <row r="19" spans="2:2">
      <c r="B19" t="s">
        <v>590</v>
      </c>
    </row>
    <row r="20" spans="2:2">
      <c r="B20" t="s">
        <v>591</v>
      </c>
    </row>
    <row r="21" spans="2:2">
      <c r="B21" t="s">
        <v>592</v>
      </c>
    </row>
    <row r="22" spans="2:2">
      <c r="B22" t="s">
        <v>732</v>
      </c>
    </row>
    <row r="23" spans="2:2">
      <c r="B23" t="s">
        <v>576</v>
      </c>
    </row>
    <row r="24" spans="2:2">
      <c r="B24" t="s">
        <v>646</v>
      </c>
    </row>
    <row r="25" spans="2:2">
      <c r="B25" t="s">
        <v>647</v>
      </c>
    </row>
    <row r="26" spans="2:2">
      <c r="B26" t="s">
        <v>578</v>
      </c>
    </row>
    <row r="27" spans="2:2">
      <c r="B27" t="s">
        <v>710</v>
      </c>
    </row>
    <row r="28" spans="2:2">
      <c r="B28" t="s">
        <v>593</v>
      </c>
    </row>
    <row r="29" spans="2:2">
      <c r="B29" t="s">
        <v>625</v>
      </c>
    </row>
    <row r="30" spans="2:2">
      <c r="B30" t="s">
        <v>626</v>
      </c>
    </row>
    <row r="31" spans="2:2">
      <c r="B31" t="s">
        <v>594</v>
      </c>
    </row>
    <row r="32" spans="2:2">
      <c r="B32" t="s">
        <v>595</v>
      </c>
    </row>
    <row r="33" spans="2:2">
      <c r="B33" t="s">
        <v>708</v>
      </c>
    </row>
    <row r="34" spans="2:2">
      <c r="B34" t="s">
        <v>597</v>
      </c>
    </row>
    <row r="35" spans="2:2">
      <c r="B35" t="s">
        <v>598</v>
      </c>
    </row>
    <row r="36" spans="2:2">
      <c r="B36" t="s">
        <v>599</v>
      </c>
    </row>
    <row r="37" spans="2:2">
      <c r="B37" t="s">
        <v>600</v>
      </c>
    </row>
    <row r="38" spans="2:2">
      <c r="B38" t="s">
        <v>601</v>
      </c>
    </row>
    <row r="39" spans="2:2">
      <c r="B39" t="s">
        <v>588</v>
      </c>
    </row>
    <row r="40" spans="2:2">
      <c r="B40" t="s">
        <v>589</v>
      </c>
    </row>
    <row r="41" spans="2:2">
      <c r="B41" t="s">
        <v>590</v>
      </c>
    </row>
    <row r="42" spans="2:2">
      <c r="B42" t="s">
        <v>591</v>
      </c>
    </row>
    <row r="43" spans="2:2">
      <c r="B43" t="s">
        <v>592</v>
      </c>
    </row>
    <row r="44" spans="2:2">
      <c r="B44" t="s">
        <v>732</v>
      </c>
    </row>
    <row r="45" spans="2:2">
      <c r="B45" t="s">
        <v>576</v>
      </c>
    </row>
    <row r="46" spans="2:2">
      <c r="B46" t="s">
        <v>648</v>
      </c>
    </row>
    <row r="47" spans="2:2">
      <c r="B47" t="s">
        <v>649</v>
      </c>
    </row>
    <row r="48" spans="2:2">
      <c r="B48" t="s">
        <v>578</v>
      </c>
    </row>
    <row r="49" spans="2:2">
      <c r="B49" t="s">
        <v>710</v>
      </c>
    </row>
    <row r="50" spans="2:2">
      <c r="B50" t="s">
        <v>602</v>
      </c>
    </row>
    <row r="51" spans="2:2">
      <c r="B51" t="s">
        <v>625</v>
      </c>
    </row>
    <row r="52" spans="2:2">
      <c r="B52" t="s">
        <v>626</v>
      </c>
    </row>
    <row r="53" spans="2:2">
      <c r="B53" t="s">
        <v>594</v>
      </c>
    </row>
    <row r="54" spans="2:2">
      <c r="B54" t="s">
        <v>595</v>
      </c>
    </row>
    <row r="55" spans="2:2">
      <c r="B55" t="s">
        <v>596</v>
      </c>
    </row>
    <row r="56" spans="2:2">
      <c r="B56" t="s">
        <v>603</v>
      </c>
    </row>
    <row r="57" spans="2:2">
      <c r="B57" t="s">
        <v>598</v>
      </c>
    </row>
    <row r="58" spans="2:2">
      <c r="B58" t="s">
        <v>599</v>
      </c>
    </row>
    <row r="59" spans="2:2">
      <c r="B59" t="s">
        <v>600</v>
      </c>
    </row>
    <row r="60" spans="2:2">
      <c r="B60" t="s">
        <v>601</v>
      </c>
    </row>
    <row r="61" spans="2:2">
      <c r="B61" t="s">
        <v>588</v>
      </c>
    </row>
    <row r="62" spans="2:2">
      <c r="B62" t="s">
        <v>589</v>
      </c>
    </row>
    <row r="63" spans="2:2">
      <c r="B63" t="s">
        <v>590</v>
      </c>
    </row>
    <row r="64" spans="2:2">
      <c r="B64" t="s">
        <v>591</v>
      </c>
    </row>
    <row r="65" spans="2:2">
      <c r="B65" t="s">
        <v>592</v>
      </c>
    </row>
    <row r="66" spans="2:2">
      <c r="B66" t="s">
        <v>732</v>
      </c>
    </row>
    <row r="67" spans="2:2">
      <c r="B67" t="s">
        <v>576</v>
      </c>
    </row>
    <row r="68" spans="2:2">
      <c r="B68" t="s">
        <v>650</v>
      </c>
    </row>
    <row r="69" spans="2:2">
      <c r="B69" t="s">
        <v>651</v>
      </c>
    </row>
    <row r="70" spans="2:2">
      <c r="B70" t="s">
        <v>578</v>
      </c>
    </row>
    <row r="71" spans="2:2">
      <c r="B71" t="s">
        <v>710</v>
      </c>
    </row>
    <row r="72" spans="2:2">
      <c r="B72" t="s">
        <v>604</v>
      </c>
    </row>
    <row r="73" spans="2:2">
      <c r="B73" t="s">
        <v>625</v>
      </c>
    </row>
    <row r="74" spans="2:2">
      <c r="B74" t="s">
        <v>626</v>
      </c>
    </row>
    <row r="75" spans="2:2">
      <c r="B75" t="s">
        <v>594</v>
      </c>
    </row>
    <row r="76" spans="2:2">
      <c r="B76" t="s">
        <v>595</v>
      </c>
    </row>
    <row r="77" spans="2:2">
      <c r="B77" t="s">
        <v>596</v>
      </c>
    </row>
    <row r="78" spans="2:2">
      <c r="B78" t="s">
        <v>605</v>
      </c>
    </row>
    <row r="79" spans="2:2">
      <c r="B79" t="s">
        <v>598</v>
      </c>
    </row>
    <row r="80" spans="2:2">
      <c r="B80" t="s">
        <v>599</v>
      </c>
    </row>
    <row r="81" spans="2:2">
      <c r="B81" t="s">
        <v>600</v>
      </c>
    </row>
    <row r="82" spans="2:2">
      <c r="B82" t="s">
        <v>601</v>
      </c>
    </row>
    <row r="83" spans="2:2">
      <c r="B83" t="s">
        <v>588</v>
      </c>
    </row>
    <row r="84" spans="2:2">
      <c r="B84" t="s">
        <v>589</v>
      </c>
    </row>
    <row r="85" spans="2:2">
      <c r="B85" t="s">
        <v>590</v>
      </c>
    </row>
    <row r="86" spans="2:2">
      <c r="B86" t="s">
        <v>591</v>
      </c>
    </row>
    <row r="87" spans="2:2">
      <c r="B87" t="s">
        <v>592</v>
      </c>
    </row>
    <row r="88" spans="2:2">
      <c r="B88" t="s">
        <v>732</v>
      </c>
    </row>
    <row r="89" spans="2:2">
      <c r="B89" t="s">
        <v>576</v>
      </c>
    </row>
    <row r="90" spans="2:2">
      <c r="B90" t="s">
        <v>652</v>
      </c>
    </row>
    <row r="91" spans="2:2">
      <c r="B91" t="s">
        <v>653</v>
      </c>
    </row>
    <row r="92" spans="2:2">
      <c r="B92" t="s">
        <v>578</v>
      </c>
    </row>
    <row r="93" spans="2:2">
      <c r="B93" t="s">
        <v>710</v>
      </c>
    </row>
    <row r="94" spans="2:2">
      <c r="B94" t="s">
        <v>593</v>
      </c>
    </row>
    <row r="95" spans="2:2">
      <c r="B95" t="s">
        <v>625</v>
      </c>
    </row>
    <row r="96" spans="2:2">
      <c r="B96" t="s">
        <v>626</v>
      </c>
    </row>
    <row r="97" spans="2:2">
      <c r="B97" t="s">
        <v>606</v>
      </c>
    </row>
    <row r="98" spans="2:2">
      <c r="B98" t="s">
        <v>607</v>
      </c>
    </row>
    <row r="99" spans="2:2">
      <c r="B99" t="s">
        <v>608</v>
      </c>
    </row>
    <row r="100" spans="2:2">
      <c r="B100" t="s">
        <v>609</v>
      </c>
    </row>
    <row r="101" spans="2:2">
      <c r="B101" t="s">
        <v>610</v>
      </c>
    </row>
    <row r="102" spans="2:2">
      <c r="B102" t="s">
        <v>585</v>
      </c>
    </row>
    <row r="103" spans="2:2">
      <c r="B103" t="s">
        <v>586</v>
      </c>
    </row>
    <row r="104" spans="2:2">
      <c r="B104" t="s">
        <v>587</v>
      </c>
    </row>
    <row r="105" spans="2:2">
      <c r="B105" t="s">
        <v>588</v>
      </c>
    </row>
    <row r="106" spans="2:2">
      <c r="B106" t="s">
        <v>589</v>
      </c>
    </row>
    <row r="107" spans="2:2">
      <c r="B107" t="s">
        <v>590</v>
      </c>
    </row>
    <row r="108" spans="2:2">
      <c r="B108" t="s">
        <v>591</v>
      </c>
    </row>
    <row r="109" spans="2:2">
      <c r="B109" t="s">
        <v>592</v>
      </c>
    </row>
    <row r="110" spans="2:2">
      <c r="B110" t="s">
        <v>732</v>
      </c>
    </row>
    <row r="111" spans="2:2">
      <c r="B111" t="s">
        <v>576</v>
      </c>
    </row>
    <row r="112" spans="2:2">
      <c r="B112" t="s">
        <v>654</v>
      </c>
    </row>
    <row r="113" spans="2:2">
      <c r="B113" t="s">
        <v>655</v>
      </c>
    </row>
    <row r="114" spans="2:2">
      <c r="B114" t="s">
        <v>578</v>
      </c>
    </row>
    <row r="115" spans="2:2">
      <c r="B115" t="s">
        <v>710</v>
      </c>
    </row>
    <row r="116" spans="2:2">
      <c r="B116" t="s">
        <v>593</v>
      </c>
    </row>
    <row r="117" spans="2:2">
      <c r="B117" t="s">
        <v>625</v>
      </c>
    </row>
    <row r="118" spans="2:2">
      <c r="B118" t="s">
        <v>626</v>
      </c>
    </row>
    <row r="119" spans="2:2">
      <c r="B119" t="s">
        <v>611</v>
      </c>
    </row>
    <row r="120" spans="2:2">
      <c r="B120" t="s">
        <v>612</v>
      </c>
    </row>
    <row r="121" spans="2:2">
      <c r="B121" t="s">
        <v>613</v>
      </c>
    </row>
    <row r="122" spans="2:2">
      <c r="B122" t="s">
        <v>614</v>
      </c>
    </row>
    <row r="123" spans="2:2">
      <c r="B123" t="s">
        <v>615</v>
      </c>
    </row>
    <row r="124" spans="2:2">
      <c r="B124" t="s">
        <v>712</v>
      </c>
    </row>
    <row r="125" spans="2:2">
      <c r="B125" t="s">
        <v>616</v>
      </c>
    </row>
    <row r="126" spans="2:2">
      <c r="B126" t="s">
        <v>587</v>
      </c>
    </row>
    <row r="127" spans="2:2">
      <c r="B127" t="s">
        <v>588</v>
      </c>
    </row>
    <row r="128" spans="2:2">
      <c r="B128" t="s">
        <v>589</v>
      </c>
    </row>
    <row r="129" spans="2:2">
      <c r="B129" t="s">
        <v>590</v>
      </c>
    </row>
    <row r="130" spans="2:2">
      <c r="B130" t="s">
        <v>591</v>
      </c>
    </row>
    <row r="131" spans="2:2">
      <c r="B131" t="s">
        <v>592</v>
      </c>
    </row>
    <row r="132" spans="2:2">
      <c r="B132" t="s">
        <v>732</v>
      </c>
    </row>
    <row r="133" spans="2:2">
      <c r="B133" t="s">
        <v>576</v>
      </c>
    </row>
    <row r="134" spans="2:2">
      <c r="B134" t="s">
        <v>656</v>
      </c>
    </row>
    <row r="135" spans="2:2">
      <c r="B135" t="s">
        <v>657</v>
      </c>
    </row>
    <row r="136" spans="2:2">
      <c r="B136" t="s">
        <v>578</v>
      </c>
    </row>
    <row r="137" spans="2:2">
      <c r="B137" t="s">
        <v>710</v>
      </c>
    </row>
    <row r="138" spans="2:2">
      <c r="B138" t="s">
        <v>593</v>
      </c>
    </row>
    <row r="139" spans="2:2">
      <c r="B139" t="s">
        <v>625</v>
      </c>
    </row>
    <row r="140" spans="2:2">
      <c r="B140" t="s">
        <v>626</v>
      </c>
    </row>
    <row r="141" spans="2:2">
      <c r="B141" t="s">
        <v>617</v>
      </c>
    </row>
    <row r="142" spans="2:2">
      <c r="B142" t="s">
        <v>618</v>
      </c>
    </row>
    <row r="143" spans="2:2">
      <c r="B143" t="s">
        <v>619</v>
      </c>
    </row>
    <row r="144" spans="2:2">
      <c r="B144" t="s">
        <v>584</v>
      </c>
    </row>
    <row r="145" spans="2:2">
      <c r="B145" t="s">
        <v>711</v>
      </c>
    </row>
    <row r="146" spans="2:2">
      <c r="B146" t="s">
        <v>585</v>
      </c>
    </row>
    <row r="147" spans="2:2">
      <c r="B147" t="s">
        <v>586</v>
      </c>
    </row>
    <row r="148" spans="2:2">
      <c r="B148" t="s">
        <v>587</v>
      </c>
    </row>
    <row r="149" spans="2:2">
      <c r="B149" t="s">
        <v>588</v>
      </c>
    </row>
    <row r="150" spans="2:2">
      <c r="B150" t="s">
        <v>589</v>
      </c>
    </row>
    <row r="151" spans="2:2">
      <c r="B151" t="s">
        <v>590</v>
      </c>
    </row>
    <row r="152" spans="2:2">
      <c r="B152" t="s">
        <v>591</v>
      </c>
    </row>
    <row r="153" spans="2:2">
      <c r="B153" t="s">
        <v>592</v>
      </c>
    </row>
    <row r="154" spans="2:2">
      <c r="B154" t="s">
        <v>732</v>
      </c>
    </row>
    <row r="155" spans="2:2">
      <c r="B155" t="s">
        <v>576</v>
      </c>
    </row>
    <row r="156" spans="2:2">
      <c r="B156" t="s">
        <v>658</v>
      </c>
    </row>
    <row r="157" spans="2:2">
      <c r="B157" t="s">
        <v>659</v>
      </c>
    </row>
    <row r="158" spans="2:2">
      <c r="B158" t="s">
        <v>578</v>
      </c>
    </row>
    <row r="159" spans="2:2">
      <c r="B159" t="s">
        <v>713</v>
      </c>
    </row>
    <row r="160" spans="2:2">
      <c r="B160" t="s">
        <v>580</v>
      </c>
    </row>
    <row r="161" spans="2:2">
      <c r="B161" t="s">
        <v>625</v>
      </c>
    </row>
    <row r="162" spans="2:2">
      <c r="B162" t="s">
        <v>626</v>
      </c>
    </row>
    <row r="163" spans="2:2">
      <c r="B163" t="s">
        <v>581</v>
      </c>
    </row>
    <row r="164" spans="2:2">
      <c r="B164" t="s">
        <v>620</v>
      </c>
    </row>
    <row r="165" spans="2:2">
      <c r="B165" t="s">
        <v>621</v>
      </c>
    </row>
    <row r="166" spans="2:2">
      <c r="B166" t="s">
        <v>584</v>
      </c>
    </row>
    <row r="167" spans="2:2">
      <c r="B167" t="s">
        <v>622</v>
      </c>
    </row>
    <row r="168" spans="2:2">
      <c r="B168" t="s">
        <v>623</v>
      </c>
    </row>
    <row r="169" spans="2:2">
      <c r="B169" t="s">
        <v>586</v>
      </c>
    </row>
    <row r="170" spans="2:2">
      <c r="B170" t="s">
        <v>587</v>
      </c>
    </row>
    <row r="171" spans="2:2">
      <c r="B171" t="s">
        <v>588</v>
      </c>
    </row>
    <row r="172" spans="2:2">
      <c r="B172" t="s">
        <v>589</v>
      </c>
    </row>
    <row r="173" spans="2:2">
      <c r="B173" t="s">
        <v>590</v>
      </c>
    </row>
    <row r="174" spans="2:2">
      <c r="B174" t="s">
        <v>591</v>
      </c>
    </row>
    <row r="175" spans="2:2">
      <c r="B175" t="s">
        <v>592</v>
      </c>
    </row>
    <row r="176" spans="2:2">
      <c r="B176" t="s">
        <v>732</v>
      </c>
    </row>
    <row r="177" spans="2:2">
      <c r="B177" t="s">
        <v>576</v>
      </c>
    </row>
    <row r="178" spans="2:2">
      <c r="B178" t="s">
        <v>660</v>
      </c>
    </row>
    <row r="179" spans="2:2">
      <c r="B179" t="s">
        <v>661</v>
      </c>
    </row>
    <row r="180" spans="2:2">
      <c r="B180" t="s">
        <v>624</v>
      </c>
    </row>
    <row r="181" spans="2:2">
      <c r="B181" t="s">
        <v>579</v>
      </c>
    </row>
    <row r="182" spans="2:2">
      <c r="B182" t="s">
        <v>580</v>
      </c>
    </row>
    <row r="183" spans="2:2">
      <c r="B183" t="s">
        <v>625</v>
      </c>
    </row>
    <row r="184" spans="2:2">
      <c r="B184" t="s">
        <v>626</v>
      </c>
    </row>
    <row r="185" spans="2:2">
      <c r="B185" t="s">
        <v>581</v>
      </c>
    </row>
    <row r="186" spans="2:2">
      <c r="B186" t="s">
        <v>582</v>
      </c>
    </row>
    <row r="187" spans="2:2">
      <c r="B187" t="s">
        <v>583</v>
      </c>
    </row>
    <row r="188" spans="2:2">
      <c r="B188" t="s">
        <v>584</v>
      </c>
    </row>
    <row r="189" spans="2:2">
      <c r="B189" t="s">
        <v>711</v>
      </c>
    </row>
    <row r="190" spans="2:2">
      <c r="B190" t="s">
        <v>585</v>
      </c>
    </row>
    <row r="191" spans="2:2">
      <c r="B191" t="s">
        <v>586</v>
      </c>
    </row>
    <row r="192" spans="2:2">
      <c r="B192" t="s">
        <v>587</v>
      </c>
    </row>
    <row r="193" spans="2:2">
      <c r="B193" t="s">
        <v>588</v>
      </c>
    </row>
    <row r="194" spans="2:2">
      <c r="B194" t="s">
        <v>589</v>
      </c>
    </row>
    <row r="195" spans="2:2">
      <c r="B195" t="s">
        <v>590</v>
      </c>
    </row>
    <row r="196" spans="2:2">
      <c r="B196" t="s">
        <v>591</v>
      </c>
    </row>
    <row r="197" spans="2:2">
      <c r="B197" t="s">
        <v>592</v>
      </c>
    </row>
    <row r="198" spans="2:2">
      <c r="B198" t="s">
        <v>732</v>
      </c>
    </row>
    <row r="199" spans="2:2">
      <c r="B199" t="s">
        <v>576</v>
      </c>
    </row>
    <row r="200" spans="2:2">
      <c r="B200" t="s">
        <v>662</v>
      </c>
    </row>
    <row r="201" spans="2:2">
      <c r="B201" t="s">
        <v>663</v>
      </c>
    </row>
    <row r="202" spans="2:2">
      <c r="B202" t="s">
        <v>624</v>
      </c>
    </row>
    <row r="203" spans="2:2">
      <c r="B203" t="s">
        <v>710</v>
      </c>
    </row>
    <row r="204" spans="2:2">
      <c r="B204" t="s">
        <v>593</v>
      </c>
    </row>
    <row r="205" spans="2:2">
      <c r="B205" t="s">
        <v>625</v>
      </c>
    </row>
    <row r="206" spans="2:2">
      <c r="B206" t="s">
        <v>626</v>
      </c>
    </row>
    <row r="207" spans="2:2">
      <c r="B207" t="s">
        <v>594</v>
      </c>
    </row>
    <row r="208" spans="2:2">
      <c r="B208" t="s">
        <v>595</v>
      </c>
    </row>
    <row r="209" spans="2:2">
      <c r="B209" t="s">
        <v>596</v>
      </c>
    </row>
    <row r="210" spans="2:2">
      <c r="B210" t="s">
        <v>597</v>
      </c>
    </row>
    <row r="211" spans="2:2">
      <c r="B211" t="s">
        <v>598</v>
      </c>
    </row>
    <row r="212" spans="2:2">
      <c r="B212" t="s">
        <v>599</v>
      </c>
    </row>
    <row r="213" spans="2:2">
      <c r="B213" t="s">
        <v>600</v>
      </c>
    </row>
    <row r="214" spans="2:2">
      <c r="B214" t="s">
        <v>601</v>
      </c>
    </row>
    <row r="215" spans="2:2">
      <c r="B215" t="s">
        <v>588</v>
      </c>
    </row>
    <row r="216" spans="2:2">
      <c r="B216" t="s">
        <v>589</v>
      </c>
    </row>
    <row r="217" spans="2:2">
      <c r="B217" t="s">
        <v>590</v>
      </c>
    </row>
    <row r="218" spans="2:2">
      <c r="B218" t="s">
        <v>591</v>
      </c>
    </row>
    <row r="219" spans="2:2">
      <c r="B219" t="s">
        <v>592</v>
      </c>
    </row>
    <row r="220" spans="2:2">
      <c r="B220" t="s">
        <v>732</v>
      </c>
    </row>
    <row r="221" spans="2:2">
      <c r="B221" t="s">
        <v>576</v>
      </c>
    </row>
    <row r="222" spans="2:2">
      <c r="B222" t="s">
        <v>664</v>
      </c>
    </row>
    <row r="223" spans="2:2">
      <c r="B223" t="s">
        <v>665</v>
      </c>
    </row>
    <row r="224" spans="2:2">
      <c r="B224" t="s">
        <v>624</v>
      </c>
    </row>
    <row r="225" spans="2:2">
      <c r="B225" t="s">
        <v>710</v>
      </c>
    </row>
    <row r="226" spans="2:2">
      <c r="B226" t="s">
        <v>593</v>
      </c>
    </row>
    <row r="227" spans="2:2">
      <c r="B227" t="s">
        <v>625</v>
      </c>
    </row>
    <row r="228" spans="2:2">
      <c r="B228" t="s">
        <v>626</v>
      </c>
    </row>
    <row r="229" spans="2:2">
      <c r="B229" t="s">
        <v>627</v>
      </c>
    </row>
    <row r="230" spans="2:2">
      <c r="B230" t="s">
        <v>628</v>
      </c>
    </row>
    <row r="231" spans="2:2">
      <c r="B231" t="s">
        <v>629</v>
      </c>
    </row>
    <row r="232" spans="2:2">
      <c r="B232" t="s">
        <v>584</v>
      </c>
    </row>
    <row r="233" spans="2:2">
      <c r="B233" t="s">
        <v>610</v>
      </c>
    </row>
    <row r="234" spans="2:2">
      <c r="B234" t="s">
        <v>585</v>
      </c>
    </row>
    <row r="235" spans="2:2">
      <c r="B235" t="s">
        <v>586</v>
      </c>
    </row>
    <row r="236" spans="2:2">
      <c r="B236" t="s">
        <v>587</v>
      </c>
    </row>
    <row r="237" spans="2:2">
      <c r="B237" t="s">
        <v>588</v>
      </c>
    </row>
    <row r="238" spans="2:2">
      <c r="B238" t="s">
        <v>589</v>
      </c>
    </row>
    <row r="239" spans="2:2">
      <c r="B239" t="s">
        <v>590</v>
      </c>
    </row>
    <row r="240" spans="2:2">
      <c r="B240" t="s">
        <v>591</v>
      </c>
    </row>
    <row r="241" spans="2:2">
      <c r="B241" t="s">
        <v>592</v>
      </c>
    </row>
    <row r="242" spans="2:2">
      <c r="B242" t="s">
        <v>732</v>
      </c>
    </row>
    <row r="243" spans="2:2">
      <c r="B243" t="s">
        <v>576</v>
      </c>
    </row>
    <row r="244" spans="2:2">
      <c r="B244" t="s">
        <v>666</v>
      </c>
    </row>
    <row r="245" spans="2:2">
      <c r="B245" t="s">
        <v>667</v>
      </c>
    </row>
    <row r="246" spans="2:2">
      <c r="B246" t="s">
        <v>624</v>
      </c>
    </row>
    <row r="247" spans="2:2">
      <c r="B247" t="s">
        <v>710</v>
      </c>
    </row>
    <row r="248" spans="2:2">
      <c r="B248" t="s">
        <v>593</v>
      </c>
    </row>
    <row r="249" spans="2:2">
      <c r="B249" t="s">
        <v>625</v>
      </c>
    </row>
    <row r="250" spans="2:2">
      <c r="B250" t="s">
        <v>626</v>
      </c>
    </row>
    <row r="251" spans="2:2">
      <c r="B251" t="s">
        <v>606</v>
      </c>
    </row>
    <row r="252" spans="2:2">
      <c r="B252" t="s">
        <v>607</v>
      </c>
    </row>
    <row r="253" spans="2:2">
      <c r="B253" t="s">
        <v>608</v>
      </c>
    </row>
    <row r="254" spans="2:2">
      <c r="B254" t="s">
        <v>609</v>
      </c>
    </row>
    <row r="255" spans="2:2">
      <c r="B255" t="s">
        <v>610</v>
      </c>
    </row>
    <row r="256" spans="2:2">
      <c r="B256" t="s">
        <v>585</v>
      </c>
    </row>
    <row r="257" spans="2:2">
      <c r="B257" t="s">
        <v>586</v>
      </c>
    </row>
    <row r="258" spans="2:2">
      <c r="B258" t="s">
        <v>587</v>
      </c>
    </row>
    <row r="259" spans="2:2">
      <c r="B259" t="s">
        <v>588</v>
      </c>
    </row>
    <row r="260" spans="2:2">
      <c r="B260" t="s">
        <v>589</v>
      </c>
    </row>
    <row r="261" spans="2:2">
      <c r="B261" t="s">
        <v>590</v>
      </c>
    </row>
    <row r="262" spans="2:2">
      <c r="B262" t="s">
        <v>591</v>
      </c>
    </row>
    <row r="263" spans="2:2">
      <c r="B263" t="s">
        <v>592</v>
      </c>
    </row>
    <row r="264" spans="2:2">
      <c r="B264" t="s">
        <v>732</v>
      </c>
    </row>
    <row r="265" spans="2:2">
      <c r="B265" t="s">
        <v>576</v>
      </c>
    </row>
    <row r="266" spans="2:2">
      <c r="B266" t="s">
        <v>668</v>
      </c>
    </row>
    <row r="267" spans="2:2">
      <c r="B267" t="s">
        <v>669</v>
      </c>
    </row>
    <row r="268" spans="2:2">
      <c r="B268" t="s">
        <v>624</v>
      </c>
    </row>
    <row r="269" spans="2:2">
      <c r="B269" t="s">
        <v>710</v>
      </c>
    </row>
    <row r="270" spans="2:2">
      <c r="B270" t="s">
        <v>593</v>
      </c>
    </row>
    <row r="271" spans="2:2">
      <c r="B271" t="s">
        <v>625</v>
      </c>
    </row>
    <row r="272" spans="2:2">
      <c r="B272" t="s">
        <v>626</v>
      </c>
    </row>
    <row r="273" spans="2:2">
      <c r="B273" t="s">
        <v>627</v>
      </c>
    </row>
    <row r="274" spans="2:2">
      <c r="B274" t="s">
        <v>612</v>
      </c>
    </row>
    <row r="275" spans="2:2">
      <c r="B275" t="s">
        <v>613</v>
      </c>
    </row>
    <row r="276" spans="2:2">
      <c r="B276" t="s">
        <v>614</v>
      </c>
    </row>
    <row r="277" spans="2:2">
      <c r="B277" t="s">
        <v>615</v>
      </c>
    </row>
    <row r="278" spans="2:2">
      <c r="B278" t="s">
        <v>712</v>
      </c>
    </row>
    <row r="279" spans="2:2">
      <c r="B279" t="s">
        <v>616</v>
      </c>
    </row>
    <row r="280" spans="2:2">
      <c r="B280" t="s">
        <v>587</v>
      </c>
    </row>
    <row r="281" spans="2:2">
      <c r="B281" t="s">
        <v>588</v>
      </c>
    </row>
    <row r="282" spans="2:2">
      <c r="B282" t="s">
        <v>589</v>
      </c>
    </row>
    <row r="283" spans="2:2">
      <c r="B283" t="s">
        <v>590</v>
      </c>
    </row>
    <row r="284" spans="2:2">
      <c r="B284" t="s">
        <v>591</v>
      </c>
    </row>
    <row r="285" spans="2:2">
      <c r="B285" t="s">
        <v>592</v>
      </c>
    </row>
    <row r="286" spans="2:2">
      <c r="B286" t="s">
        <v>734</v>
      </c>
    </row>
    <row r="287" spans="2:2">
      <c r="B287" t="s">
        <v>576</v>
      </c>
    </row>
    <row r="288" spans="2:2">
      <c r="B288" t="s">
        <v>670</v>
      </c>
    </row>
    <row r="289" spans="2:2">
      <c r="B289" t="s">
        <v>671</v>
      </c>
    </row>
    <row r="290" spans="2:2">
      <c r="B290" t="s">
        <v>624</v>
      </c>
    </row>
    <row r="291" spans="2:2">
      <c r="B291" t="s">
        <v>710</v>
      </c>
    </row>
    <row r="292" spans="2:2">
      <c r="B292" t="s">
        <v>593</v>
      </c>
    </row>
    <row r="293" spans="2:2">
      <c r="B293" t="s">
        <v>625</v>
      </c>
    </row>
    <row r="294" spans="2:2">
      <c r="B294" t="s">
        <v>626</v>
      </c>
    </row>
    <row r="295" spans="2:2">
      <c r="B295" t="s">
        <v>630</v>
      </c>
    </row>
    <row r="296" spans="2:2">
      <c r="B296" t="s">
        <v>618</v>
      </c>
    </row>
    <row r="297" spans="2:2">
      <c r="B297" t="s">
        <v>619</v>
      </c>
    </row>
    <row r="298" spans="2:2">
      <c r="B298" t="s">
        <v>584</v>
      </c>
    </row>
    <row r="299" spans="2:2">
      <c r="B299" t="s">
        <v>711</v>
      </c>
    </row>
    <row r="300" spans="2:2">
      <c r="B300" t="s">
        <v>585</v>
      </c>
    </row>
    <row r="301" spans="2:2">
      <c r="B301" t="s">
        <v>586</v>
      </c>
    </row>
    <row r="302" spans="2:2">
      <c r="B302" t="s">
        <v>587</v>
      </c>
    </row>
    <row r="303" spans="2:2">
      <c r="B303" t="s">
        <v>588</v>
      </c>
    </row>
    <row r="304" spans="2:2">
      <c r="B304" t="s">
        <v>589</v>
      </c>
    </row>
    <row r="305" spans="2:2">
      <c r="B305" t="s">
        <v>590</v>
      </c>
    </row>
    <row r="306" spans="2:2">
      <c r="B306" t="s">
        <v>591</v>
      </c>
    </row>
    <row r="307" spans="2:2">
      <c r="B307" t="s">
        <v>592</v>
      </c>
    </row>
    <row r="308" spans="2:2">
      <c r="B308" t="s">
        <v>732</v>
      </c>
    </row>
    <row r="309" spans="2:2">
      <c r="B309" t="s">
        <v>576</v>
      </c>
    </row>
    <row r="310" spans="2:2">
      <c r="B310" t="s">
        <v>672</v>
      </c>
    </row>
    <row r="311" spans="2:2">
      <c r="B311" t="s">
        <v>673</v>
      </c>
    </row>
    <row r="312" spans="2:2">
      <c r="B312" t="s">
        <v>624</v>
      </c>
    </row>
    <row r="313" spans="2:2">
      <c r="B313" t="s">
        <v>714</v>
      </c>
    </row>
    <row r="314" spans="2:2">
      <c r="B314" t="s">
        <v>580</v>
      </c>
    </row>
    <row r="315" spans="2:2">
      <c r="B315" t="s">
        <v>625</v>
      </c>
    </row>
    <row r="316" spans="2:2">
      <c r="B316" t="s">
        <v>626</v>
      </c>
    </row>
    <row r="317" spans="2:2">
      <c r="B317" t="s">
        <v>581</v>
      </c>
    </row>
    <row r="318" spans="2:2">
      <c r="B318" t="s">
        <v>620</v>
      </c>
    </row>
    <row r="319" spans="2:2">
      <c r="B319" t="s">
        <v>621</v>
      </c>
    </row>
    <row r="320" spans="2:2">
      <c r="B320" t="s">
        <v>584</v>
      </c>
    </row>
    <row r="321" spans="2:2">
      <c r="B321" t="s">
        <v>622</v>
      </c>
    </row>
    <row r="322" spans="2:2">
      <c r="B322" t="s">
        <v>631</v>
      </c>
    </row>
    <row r="323" spans="2:2">
      <c r="B323" t="s">
        <v>586</v>
      </c>
    </row>
    <row r="324" spans="2:2">
      <c r="B324" t="s">
        <v>587</v>
      </c>
    </row>
    <row r="325" spans="2:2">
      <c r="B325" t="s">
        <v>588</v>
      </c>
    </row>
    <row r="326" spans="2:2">
      <c r="B326" t="s">
        <v>589</v>
      </c>
    </row>
    <row r="327" spans="2:2">
      <c r="B327" t="s">
        <v>590</v>
      </c>
    </row>
    <row r="328" spans="2:2">
      <c r="B328" t="s">
        <v>591</v>
      </c>
    </row>
    <row r="329" spans="2:2">
      <c r="B329" t="s">
        <v>592</v>
      </c>
    </row>
    <row r="330" spans="2:2">
      <c r="B330" t="s">
        <v>732</v>
      </c>
    </row>
    <row r="331" spans="2:2">
      <c r="B331" t="s">
        <v>576</v>
      </c>
    </row>
    <row r="332" spans="2:2">
      <c r="B332" t="s">
        <v>674</v>
      </c>
    </row>
    <row r="333" spans="2:2">
      <c r="B333" t="s">
        <v>675</v>
      </c>
    </row>
    <row r="334" spans="2:2">
      <c r="B334" t="s">
        <v>632</v>
      </c>
    </row>
    <row r="335" spans="2:2">
      <c r="B335" t="s">
        <v>579</v>
      </c>
    </row>
    <row r="336" spans="2:2">
      <c r="B336" t="s">
        <v>580</v>
      </c>
    </row>
    <row r="337" spans="2:2">
      <c r="B337" t="s">
        <v>625</v>
      </c>
    </row>
    <row r="338" spans="2:2">
      <c r="B338" t="s">
        <v>626</v>
      </c>
    </row>
    <row r="339" spans="2:2">
      <c r="B339" t="s">
        <v>581</v>
      </c>
    </row>
    <row r="340" spans="2:2">
      <c r="B340" t="s">
        <v>582</v>
      </c>
    </row>
    <row r="341" spans="2:2">
      <c r="B341" t="s">
        <v>633</v>
      </c>
    </row>
    <row r="342" spans="2:2">
      <c r="B342" t="s">
        <v>584</v>
      </c>
    </row>
    <row r="343" spans="2:2">
      <c r="B343" t="s">
        <v>711</v>
      </c>
    </row>
    <row r="344" spans="2:2">
      <c r="B344" t="s">
        <v>585</v>
      </c>
    </row>
    <row r="345" spans="2:2">
      <c r="B345" t="s">
        <v>586</v>
      </c>
    </row>
    <row r="346" spans="2:2">
      <c r="B346" t="s">
        <v>587</v>
      </c>
    </row>
    <row r="347" spans="2:2">
      <c r="B347" t="s">
        <v>588</v>
      </c>
    </row>
    <row r="348" spans="2:2">
      <c r="B348" t="s">
        <v>589</v>
      </c>
    </row>
    <row r="349" spans="2:2">
      <c r="B349" t="s">
        <v>590</v>
      </c>
    </row>
    <row r="350" spans="2:2">
      <c r="B350" t="s">
        <v>591</v>
      </c>
    </row>
    <row r="351" spans="2:2">
      <c r="B351" t="s">
        <v>592</v>
      </c>
    </row>
    <row r="352" spans="2:2">
      <c r="B352" t="s">
        <v>732</v>
      </c>
    </row>
    <row r="353" spans="2:2">
      <c r="B353" t="s">
        <v>576</v>
      </c>
    </row>
    <row r="354" spans="2:2">
      <c r="B354" t="s">
        <v>676</v>
      </c>
    </row>
    <row r="355" spans="2:2">
      <c r="B355" t="s">
        <v>677</v>
      </c>
    </row>
    <row r="356" spans="2:2">
      <c r="B356" t="s">
        <v>632</v>
      </c>
    </row>
    <row r="357" spans="2:2">
      <c r="B357" t="s">
        <v>715</v>
      </c>
    </row>
    <row r="358" spans="2:2">
      <c r="B358" t="s">
        <v>593</v>
      </c>
    </row>
    <row r="359" spans="2:2">
      <c r="B359" t="s">
        <v>625</v>
      </c>
    </row>
    <row r="360" spans="2:2">
      <c r="B360" t="s">
        <v>626</v>
      </c>
    </row>
    <row r="361" spans="2:2">
      <c r="B361" t="s">
        <v>594</v>
      </c>
    </row>
    <row r="362" spans="2:2">
      <c r="B362" t="s">
        <v>595</v>
      </c>
    </row>
    <row r="363" spans="2:2">
      <c r="B363" t="s">
        <v>596</v>
      </c>
    </row>
    <row r="364" spans="2:2">
      <c r="B364" t="s">
        <v>597</v>
      </c>
    </row>
    <row r="365" spans="2:2">
      <c r="B365" t="s">
        <v>598</v>
      </c>
    </row>
    <row r="366" spans="2:2">
      <c r="B366" t="s">
        <v>599</v>
      </c>
    </row>
    <row r="367" spans="2:2">
      <c r="B367" t="s">
        <v>600</v>
      </c>
    </row>
    <row r="368" spans="2:2">
      <c r="B368" t="s">
        <v>601</v>
      </c>
    </row>
    <row r="369" spans="2:2">
      <c r="B369" t="s">
        <v>588</v>
      </c>
    </row>
    <row r="370" spans="2:2">
      <c r="B370" t="s">
        <v>589</v>
      </c>
    </row>
    <row r="371" spans="2:2">
      <c r="B371" t="s">
        <v>590</v>
      </c>
    </row>
    <row r="372" spans="2:2">
      <c r="B372" t="s">
        <v>591</v>
      </c>
    </row>
    <row r="373" spans="2:2">
      <c r="B373" t="s">
        <v>592</v>
      </c>
    </row>
    <row r="374" spans="2:2">
      <c r="B374" t="s">
        <v>732</v>
      </c>
    </row>
    <row r="375" spans="2:2">
      <c r="B375" t="s">
        <v>576</v>
      </c>
    </row>
    <row r="376" spans="2:2">
      <c r="B376" t="s">
        <v>678</v>
      </c>
    </row>
    <row r="377" spans="2:2">
      <c r="B377" t="s">
        <v>679</v>
      </c>
    </row>
    <row r="378" spans="2:2">
      <c r="B378" t="s">
        <v>632</v>
      </c>
    </row>
    <row r="379" spans="2:2">
      <c r="B379" t="s">
        <v>715</v>
      </c>
    </row>
    <row r="380" spans="2:2">
      <c r="B380" t="s">
        <v>593</v>
      </c>
    </row>
    <row r="381" spans="2:2">
      <c r="B381" t="s">
        <v>625</v>
      </c>
    </row>
    <row r="382" spans="2:2">
      <c r="B382" t="s">
        <v>626</v>
      </c>
    </row>
    <row r="383" spans="2:2">
      <c r="B383" t="s">
        <v>606</v>
      </c>
    </row>
    <row r="384" spans="2:2">
      <c r="B384" t="s">
        <v>607</v>
      </c>
    </row>
    <row r="385" spans="2:2">
      <c r="B385" t="s">
        <v>608</v>
      </c>
    </row>
    <row r="386" spans="2:2">
      <c r="B386" t="s">
        <v>609</v>
      </c>
    </row>
    <row r="387" spans="2:2">
      <c r="B387" t="s">
        <v>610</v>
      </c>
    </row>
    <row r="388" spans="2:2">
      <c r="B388" t="s">
        <v>585</v>
      </c>
    </row>
    <row r="389" spans="2:2">
      <c r="B389" t="s">
        <v>586</v>
      </c>
    </row>
    <row r="390" spans="2:2">
      <c r="B390" t="s">
        <v>587</v>
      </c>
    </row>
    <row r="391" spans="2:2">
      <c r="B391" t="s">
        <v>588</v>
      </c>
    </row>
    <row r="392" spans="2:2">
      <c r="B392" t="s">
        <v>589</v>
      </c>
    </row>
    <row r="393" spans="2:2">
      <c r="B393" t="s">
        <v>590</v>
      </c>
    </row>
    <row r="394" spans="2:2">
      <c r="B394" t="s">
        <v>591</v>
      </c>
    </row>
    <row r="395" spans="2:2">
      <c r="B395" t="s">
        <v>592</v>
      </c>
    </row>
    <row r="396" spans="2:2">
      <c r="B396" t="s">
        <v>732</v>
      </c>
    </row>
    <row r="397" spans="2:2">
      <c r="B397" t="s">
        <v>576</v>
      </c>
    </row>
    <row r="398" spans="2:2">
      <c r="B398" t="s">
        <v>680</v>
      </c>
    </row>
    <row r="399" spans="2:2">
      <c r="B399" t="s">
        <v>681</v>
      </c>
    </row>
    <row r="400" spans="2:2">
      <c r="B400" t="s">
        <v>632</v>
      </c>
    </row>
    <row r="401" spans="2:2">
      <c r="B401" t="s">
        <v>715</v>
      </c>
    </row>
    <row r="402" spans="2:2">
      <c r="B402" t="s">
        <v>593</v>
      </c>
    </row>
    <row r="403" spans="2:2">
      <c r="B403" t="s">
        <v>625</v>
      </c>
    </row>
    <row r="404" spans="2:2">
      <c r="B404" t="s">
        <v>626</v>
      </c>
    </row>
    <row r="405" spans="2:2">
      <c r="B405" t="s">
        <v>627</v>
      </c>
    </row>
    <row r="406" spans="2:2">
      <c r="B406" t="s">
        <v>634</v>
      </c>
    </row>
    <row r="407" spans="2:2">
      <c r="B407" t="s">
        <v>635</v>
      </c>
    </row>
    <row r="408" spans="2:2">
      <c r="B408" t="s">
        <v>636</v>
      </c>
    </row>
    <row r="409" spans="2:2">
      <c r="B409" t="s">
        <v>615</v>
      </c>
    </row>
    <row r="410" spans="2:2">
      <c r="B410" t="s">
        <v>716</v>
      </c>
    </row>
    <row r="411" spans="2:2">
      <c r="B411" t="s">
        <v>637</v>
      </c>
    </row>
    <row r="412" spans="2:2">
      <c r="B412" t="s">
        <v>587</v>
      </c>
    </row>
    <row r="413" spans="2:2">
      <c r="B413" t="s">
        <v>588</v>
      </c>
    </row>
    <row r="414" spans="2:2">
      <c r="B414" t="s">
        <v>589</v>
      </c>
    </row>
    <row r="415" spans="2:2">
      <c r="B415" t="s">
        <v>590</v>
      </c>
    </row>
    <row r="416" spans="2:2">
      <c r="B416" t="s">
        <v>591</v>
      </c>
    </row>
    <row r="417" spans="2:2">
      <c r="B417" t="s">
        <v>592</v>
      </c>
    </row>
    <row r="418" spans="2:2">
      <c r="B418" t="s">
        <v>732</v>
      </c>
    </row>
    <row r="419" spans="2:2">
      <c r="B419" t="s">
        <v>576</v>
      </c>
    </row>
    <row r="420" spans="2:2">
      <c r="B420" t="s">
        <v>682</v>
      </c>
    </row>
    <row r="421" spans="2:2">
      <c r="B421" t="s">
        <v>683</v>
      </c>
    </row>
    <row r="422" spans="2:2">
      <c r="B422" t="s">
        <v>632</v>
      </c>
    </row>
    <row r="423" spans="2:2">
      <c r="B423" t="s">
        <v>715</v>
      </c>
    </row>
    <row r="424" spans="2:2">
      <c r="B424" t="s">
        <v>593</v>
      </c>
    </row>
    <row r="425" spans="2:2">
      <c r="B425" t="s">
        <v>625</v>
      </c>
    </row>
    <row r="426" spans="2:2">
      <c r="B426" t="s">
        <v>626</v>
      </c>
    </row>
    <row r="427" spans="2:2">
      <c r="B427" t="s">
        <v>627</v>
      </c>
    </row>
    <row r="428" spans="2:2">
      <c r="B428" t="s">
        <v>612</v>
      </c>
    </row>
    <row r="429" spans="2:2">
      <c r="B429" t="s">
        <v>635</v>
      </c>
    </row>
    <row r="430" spans="2:2">
      <c r="B430" t="s">
        <v>638</v>
      </c>
    </row>
    <row r="431" spans="2:2">
      <c r="B431" t="s">
        <v>615</v>
      </c>
    </row>
    <row r="432" spans="2:2">
      <c r="B432" t="s">
        <v>712</v>
      </c>
    </row>
    <row r="433" spans="2:2">
      <c r="B433" t="s">
        <v>639</v>
      </c>
    </row>
    <row r="434" spans="2:2">
      <c r="B434" t="s">
        <v>587</v>
      </c>
    </row>
    <row r="435" spans="2:2">
      <c r="B435" t="s">
        <v>588</v>
      </c>
    </row>
    <row r="436" spans="2:2">
      <c r="B436" t="s">
        <v>589</v>
      </c>
    </row>
    <row r="437" spans="2:2">
      <c r="B437" t="s">
        <v>590</v>
      </c>
    </row>
    <row r="438" spans="2:2">
      <c r="B438" t="s">
        <v>591</v>
      </c>
    </row>
    <row r="439" spans="2:2">
      <c r="B439" t="s">
        <v>592</v>
      </c>
    </row>
    <row r="440" spans="2:2">
      <c r="B440" t="s">
        <v>732</v>
      </c>
    </row>
    <row r="441" spans="2:2">
      <c r="B441" t="s">
        <v>576</v>
      </c>
    </row>
    <row r="442" spans="2:2">
      <c r="B442" t="s">
        <v>684</v>
      </c>
    </row>
    <row r="443" spans="2:2">
      <c r="B443" t="s">
        <v>685</v>
      </c>
    </row>
    <row r="444" spans="2:2">
      <c r="B444" t="s">
        <v>632</v>
      </c>
    </row>
    <row r="445" spans="2:2">
      <c r="B445" t="s">
        <v>717</v>
      </c>
    </row>
    <row r="446" spans="2:2">
      <c r="B446" t="s">
        <v>580</v>
      </c>
    </row>
    <row r="447" spans="2:2">
      <c r="B447" t="s">
        <v>625</v>
      </c>
    </row>
    <row r="448" spans="2:2">
      <c r="B448" t="s">
        <v>626</v>
      </c>
    </row>
    <row r="449" spans="2:2">
      <c r="B449" t="s">
        <v>581</v>
      </c>
    </row>
    <row r="450" spans="2:2">
      <c r="B450" t="s">
        <v>620</v>
      </c>
    </row>
    <row r="451" spans="2:2">
      <c r="B451" t="s">
        <v>621</v>
      </c>
    </row>
    <row r="452" spans="2:2">
      <c r="B452" t="s">
        <v>584</v>
      </c>
    </row>
    <row r="453" spans="2:2">
      <c r="B453" t="s">
        <v>622</v>
      </c>
    </row>
    <row r="454" spans="2:2">
      <c r="B454" t="s">
        <v>640</v>
      </c>
    </row>
    <row r="455" spans="2:2">
      <c r="B455" t="s">
        <v>586</v>
      </c>
    </row>
    <row r="456" spans="2:2">
      <c r="B456" t="s">
        <v>587</v>
      </c>
    </row>
    <row r="457" spans="2:2">
      <c r="B457" t="s">
        <v>588</v>
      </c>
    </row>
    <row r="458" spans="2:2">
      <c r="B458" t="s">
        <v>589</v>
      </c>
    </row>
    <row r="459" spans="2:2">
      <c r="B459" t="s">
        <v>590</v>
      </c>
    </row>
    <row r="460" spans="2:2">
      <c r="B460" t="s">
        <v>591</v>
      </c>
    </row>
    <row r="461" spans="2:2">
      <c r="B461" t="s">
        <v>592</v>
      </c>
    </row>
    <row r="462" spans="2:2">
      <c r="B462" t="s">
        <v>732</v>
      </c>
    </row>
    <row r="463" spans="2:2">
      <c r="B463" t="s">
        <v>576</v>
      </c>
    </row>
    <row r="464" spans="2:2">
      <c r="B464" t="s">
        <v>686</v>
      </c>
    </row>
    <row r="465" spans="2:2">
      <c r="B465" t="s">
        <v>687</v>
      </c>
    </row>
    <row r="466" spans="2:2">
      <c r="B466" t="s">
        <v>641</v>
      </c>
    </row>
    <row r="467" spans="2:2">
      <c r="B467" t="s">
        <v>579</v>
      </c>
    </row>
    <row r="468" spans="2:2">
      <c r="B468" t="s">
        <v>580</v>
      </c>
    </row>
    <row r="469" spans="2:2">
      <c r="B469" t="s">
        <v>625</v>
      </c>
    </row>
    <row r="470" spans="2:2">
      <c r="B470" t="s">
        <v>626</v>
      </c>
    </row>
    <row r="471" spans="2:2">
      <c r="B471" t="s">
        <v>581</v>
      </c>
    </row>
    <row r="472" spans="2:2">
      <c r="B472" t="s">
        <v>582</v>
      </c>
    </row>
    <row r="473" spans="2:2">
      <c r="B473" t="s">
        <v>619</v>
      </c>
    </row>
    <row r="474" spans="2:2">
      <c r="B474" t="s">
        <v>584</v>
      </c>
    </row>
    <row r="475" spans="2:2">
      <c r="B475" t="s">
        <v>711</v>
      </c>
    </row>
    <row r="476" spans="2:2">
      <c r="B476" t="s">
        <v>585</v>
      </c>
    </row>
    <row r="477" spans="2:2">
      <c r="B477" t="s">
        <v>586</v>
      </c>
    </row>
    <row r="478" spans="2:2">
      <c r="B478" t="s">
        <v>587</v>
      </c>
    </row>
    <row r="479" spans="2:2">
      <c r="B479" t="s">
        <v>588</v>
      </c>
    </row>
    <row r="480" spans="2:2">
      <c r="B480" t="s">
        <v>589</v>
      </c>
    </row>
    <row r="481" spans="2:2">
      <c r="B481" t="s">
        <v>590</v>
      </c>
    </row>
    <row r="482" spans="2:2">
      <c r="B482" t="s">
        <v>591</v>
      </c>
    </row>
    <row r="483" spans="2:2">
      <c r="B483" t="s">
        <v>592</v>
      </c>
    </row>
    <row r="484" spans="2:2">
      <c r="B484" t="s">
        <v>732</v>
      </c>
    </row>
    <row r="485" spans="2:2">
      <c r="B485" t="s">
        <v>576</v>
      </c>
    </row>
    <row r="486" spans="2:2">
      <c r="B486" t="s">
        <v>688</v>
      </c>
    </row>
    <row r="487" spans="2:2">
      <c r="B487" t="s">
        <v>689</v>
      </c>
    </row>
    <row r="488" spans="2:2">
      <c r="B488" t="s">
        <v>641</v>
      </c>
    </row>
    <row r="489" spans="2:2">
      <c r="B489" t="s">
        <v>715</v>
      </c>
    </row>
    <row r="490" spans="2:2">
      <c r="B490" t="s">
        <v>593</v>
      </c>
    </row>
    <row r="491" spans="2:2">
      <c r="B491" t="s">
        <v>625</v>
      </c>
    </row>
    <row r="492" spans="2:2">
      <c r="B492" t="s">
        <v>626</v>
      </c>
    </row>
    <row r="493" spans="2:2">
      <c r="B493" t="s">
        <v>594</v>
      </c>
    </row>
    <row r="494" spans="2:2">
      <c r="B494" t="s">
        <v>595</v>
      </c>
    </row>
    <row r="495" spans="2:2">
      <c r="B495" t="s">
        <v>596</v>
      </c>
    </row>
    <row r="496" spans="2:2">
      <c r="B496" t="s">
        <v>597</v>
      </c>
    </row>
    <row r="497" spans="2:2">
      <c r="B497" t="s">
        <v>598</v>
      </c>
    </row>
    <row r="498" spans="2:2">
      <c r="B498" t="s">
        <v>599</v>
      </c>
    </row>
    <row r="499" spans="2:2">
      <c r="B499" t="s">
        <v>600</v>
      </c>
    </row>
    <row r="500" spans="2:2">
      <c r="B500" t="s">
        <v>601</v>
      </c>
    </row>
    <row r="501" spans="2:2">
      <c r="B501" t="s">
        <v>588</v>
      </c>
    </row>
    <row r="502" spans="2:2">
      <c r="B502" t="s">
        <v>589</v>
      </c>
    </row>
    <row r="503" spans="2:2">
      <c r="B503" t="s">
        <v>590</v>
      </c>
    </row>
    <row r="504" spans="2:2">
      <c r="B504" t="s">
        <v>591</v>
      </c>
    </row>
    <row r="505" spans="2:2">
      <c r="B505" t="s">
        <v>592</v>
      </c>
    </row>
    <row r="506" spans="2:2">
      <c r="B506" t="s">
        <v>734</v>
      </c>
    </row>
    <row r="507" spans="2:2">
      <c r="B507" t="s">
        <v>576</v>
      </c>
    </row>
    <row r="508" spans="2:2">
      <c r="B508" t="s">
        <v>690</v>
      </c>
    </row>
    <row r="509" spans="2:2">
      <c r="B509" t="s">
        <v>691</v>
      </c>
    </row>
    <row r="510" spans="2:2">
      <c r="B510" t="s">
        <v>641</v>
      </c>
    </row>
    <row r="511" spans="2:2">
      <c r="B511" t="s">
        <v>715</v>
      </c>
    </row>
    <row r="512" spans="2:2">
      <c r="B512" t="s">
        <v>593</v>
      </c>
    </row>
    <row r="513" spans="2:2">
      <c r="B513" t="s">
        <v>625</v>
      </c>
    </row>
    <row r="514" spans="2:2">
      <c r="B514" t="s">
        <v>626</v>
      </c>
    </row>
    <row r="515" spans="2:2">
      <c r="B515" t="s">
        <v>606</v>
      </c>
    </row>
    <row r="516" spans="2:2">
      <c r="B516" t="s">
        <v>607</v>
      </c>
    </row>
    <row r="517" spans="2:2">
      <c r="B517" t="s">
        <v>608</v>
      </c>
    </row>
    <row r="518" spans="2:2">
      <c r="B518" t="s">
        <v>609</v>
      </c>
    </row>
    <row r="519" spans="2:2">
      <c r="B519" t="s">
        <v>610</v>
      </c>
    </row>
    <row r="520" spans="2:2">
      <c r="B520" t="s">
        <v>585</v>
      </c>
    </row>
    <row r="521" spans="2:2">
      <c r="B521" t="s">
        <v>586</v>
      </c>
    </row>
    <row r="522" spans="2:2">
      <c r="B522" t="s">
        <v>587</v>
      </c>
    </row>
    <row r="523" spans="2:2">
      <c r="B523" t="s">
        <v>588</v>
      </c>
    </row>
    <row r="524" spans="2:2">
      <c r="B524" t="s">
        <v>589</v>
      </c>
    </row>
    <row r="525" spans="2:2">
      <c r="B525" t="s">
        <v>590</v>
      </c>
    </row>
    <row r="526" spans="2:2">
      <c r="B526" t="s">
        <v>591</v>
      </c>
    </row>
    <row r="527" spans="2:2">
      <c r="B527" t="s">
        <v>592</v>
      </c>
    </row>
    <row r="528" spans="2:2">
      <c r="B528" t="s">
        <v>732</v>
      </c>
    </row>
    <row r="529" spans="2:2">
      <c r="B529" t="s">
        <v>576</v>
      </c>
    </row>
    <row r="530" spans="2:2">
      <c r="B530" t="s">
        <v>692</v>
      </c>
    </row>
    <row r="531" spans="2:2">
      <c r="B531" t="s">
        <v>693</v>
      </c>
    </row>
    <row r="532" spans="2:2">
      <c r="B532" t="s">
        <v>641</v>
      </c>
    </row>
    <row r="533" spans="2:2">
      <c r="B533" t="s">
        <v>715</v>
      </c>
    </row>
    <row r="534" spans="2:2">
      <c r="B534" t="s">
        <v>593</v>
      </c>
    </row>
    <row r="535" spans="2:2">
      <c r="B535" t="s">
        <v>625</v>
      </c>
    </row>
    <row r="536" spans="2:2">
      <c r="B536" t="s">
        <v>626</v>
      </c>
    </row>
    <row r="537" spans="2:2">
      <c r="B537" t="s">
        <v>627</v>
      </c>
    </row>
    <row r="538" spans="2:2">
      <c r="B538" t="s">
        <v>612</v>
      </c>
    </row>
    <row r="539" spans="2:2">
      <c r="B539" t="s">
        <v>642</v>
      </c>
    </row>
    <row r="540" spans="2:2">
      <c r="B540" t="s">
        <v>614</v>
      </c>
    </row>
    <row r="541" spans="2:2">
      <c r="B541" t="s">
        <v>615</v>
      </c>
    </row>
    <row r="542" spans="2:2">
      <c r="B542" t="s">
        <v>712</v>
      </c>
    </row>
    <row r="543" spans="2:2">
      <c r="B543" t="s">
        <v>616</v>
      </c>
    </row>
    <row r="544" spans="2:2">
      <c r="B544" t="s">
        <v>587</v>
      </c>
    </row>
    <row r="545" spans="2:2">
      <c r="B545" t="s">
        <v>588</v>
      </c>
    </row>
    <row r="546" spans="2:2">
      <c r="B546" t="s">
        <v>589</v>
      </c>
    </row>
    <row r="547" spans="2:2">
      <c r="B547" t="s">
        <v>590</v>
      </c>
    </row>
    <row r="548" spans="2:2">
      <c r="B548" t="s">
        <v>591</v>
      </c>
    </row>
    <row r="549" spans="2:2">
      <c r="B549" t="s">
        <v>592</v>
      </c>
    </row>
    <row r="550" spans="2:2">
      <c r="B550" t="s">
        <v>734</v>
      </c>
    </row>
    <row r="551" spans="2:2">
      <c r="B551" t="s">
        <v>576</v>
      </c>
    </row>
    <row r="552" spans="2:2">
      <c r="B552" t="s">
        <v>694</v>
      </c>
    </row>
    <row r="553" spans="2:2">
      <c r="B553" t="s">
        <v>695</v>
      </c>
    </row>
    <row r="554" spans="2:2">
      <c r="B554" t="s">
        <v>641</v>
      </c>
    </row>
    <row r="555" spans="2:2">
      <c r="B555" t="s">
        <v>715</v>
      </c>
    </row>
    <row r="556" spans="2:2">
      <c r="B556" t="s">
        <v>593</v>
      </c>
    </row>
    <row r="557" spans="2:2">
      <c r="B557" t="s">
        <v>625</v>
      </c>
    </row>
    <row r="558" spans="2:2">
      <c r="B558" t="s">
        <v>626</v>
      </c>
    </row>
    <row r="559" spans="2:2">
      <c r="B559" t="s">
        <v>630</v>
      </c>
    </row>
    <row r="560" spans="2:2">
      <c r="B560" t="s">
        <v>618</v>
      </c>
    </row>
    <row r="561" spans="2:2">
      <c r="B561" t="s">
        <v>635</v>
      </c>
    </row>
    <row r="562" spans="2:2">
      <c r="B562" t="s">
        <v>584</v>
      </c>
    </row>
    <row r="563" spans="2:2">
      <c r="B563" t="s">
        <v>711</v>
      </c>
    </row>
    <row r="564" spans="2:2">
      <c r="B564" t="s">
        <v>585</v>
      </c>
    </row>
    <row r="565" spans="2:2">
      <c r="B565" t="s">
        <v>586</v>
      </c>
    </row>
    <row r="566" spans="2:2">
      <c r="B566" t="s">
        <v>587</v>
      </c>
    </row>
    <row r="567" spans="2:2">
      <c r="B567" t="s">
        <v>588</v>
      </c>
    </row>
    <row r="568" spans="2:2">
      <c r="B568" t="s">
        <v>589</v>
      </c>
    </row>
    <row r="569" spans="2:2">
      <c r="B569" t="s">
        <v>590</v>
      </c>
    </row>
    <row r="570" spans="2:2">
      <c r="B570" t="s">
        <v>591</v>
      </c>
    </row>
    <row r="571" spans="2:2">
      <c r="B571" t="s">
        <v>592</v>
      </c>
    </row>
    <row r="572" spans="2:2">
      <c r="B572" t="s">
        <v>732</v>
      </c>
    </row>
    <row r="573" spans="2:2">
      <c r="B573" t="s">
        <v>576</v>
      </c>
    </row>
    <row r="574" spans="2:2">
      <c r="B574" t="s">
        <v>696</v>
      </c>
    </row>
    <row r="575" spans="2:2">
      <c r="B575" t="s">
        <v>697</v>
      </c>
    </row>
    <row r="576" spans="2:2">
      <c r="B576" t="s">
        <v>641</v>
      </c>
    </row>
    <row r="577" spans="2:2">
      <c r="B577" t="s">
        <v>718</v>
      </c>
    </row>
    <row r="578" spans="2:2">
      <c r="B578" t="s">
        <v>580</v>
      </c>
    </row>
    <row r="579" spans="2:2">
      <c r="B579" t="s">
        <v>625</v>
      </c>
    </row>
    <row r="580" spans="2:2">
      <c r="B580" t="s">
        <v>626</v>
      </c>
    </row>
    <row r="581" spans="2:2">
      <c r="B581" t="s">
        <v>581</v>
      </c>
    </row>
    <row r="582" spans="2:2">
      <c r="B582" t="s">
        <v>582</v>
      </c>
    </row>
    <row r="583" spans="2:2">
      <c r="B583" t="s">
        <v>619</v>
      </c>
    </row>
    <row r="584" spans="2:2">
      <c r="B584" t="s">
        <v>584</v>
      </c>
    </row>
    <row r="585" spans="2:2">
      <c r="B585" t="s">
        <v>711</v>
      </c>
    </row>
    <row r="586" spans="2:2">
      <c r="B586" t="s">
        <v>585</v>
      </c>
    </row>
    <row r="587" spans="2:2">
      <c r="B587" t="s">
        <v>586</v>
      </c>
    </row>
    <row r="588" spans="2:2">
      <c r="B588" t="s">
        <v>587</v>
      </c>
    </row>
    <row r="589" spans="2:2">
      <c r="B589" t="s">
        <v>588</v>
      </c>
    </row>
    <row r="590" spans="2:2">
      <c r="B590" t="s">
        <v>589</v>
      </c>
    </row>
    <row r="591" spans="2:2">
      <c r="B591" t="s">
        <v>590</v>
      </c>
    </row>
    <row r="592" spans="2:2">
      <c r="B592" t="s">
        <v>591</v>
      </c>
    </row>
    <row r="593" spans="2:2">
      <c r="B593" t="s">
        <v>592</v>
      </c>
    </row>
    <row r="594" spans="2:2">
      <c r="B594" t="s">
        <v>732</v>
      </c>
    </row>
    <row r="595" spans="2:2">
      <c r="B595" t="s">
        <v>576</v>
      </c>
    </row>
    <row r="596" spans="2:2">
      <c r="B596" t="s">
        <v>698</v>
      </c>
    </row>
    <row r="597" spans="2:2">
      <c r="B597" t="s">
        <v>699</v>
      </c>
    </row>
    <row r="598" spans="2:2">
      <c r="B598" t="s">
        <v>641</v>
      </c>
    </row>
    <row r="599" spans="2:2">
      <c r="B599" t="s">
        <v>719</v>
      </c>
    </row>
    <row r="600" spans="2:2">
      <c r="B600" t="s">
        <v>602</v>
      </c>
    </row>
    <row r="601" spans="2:2">
      <c r="B601" t="s">
        <v>625</v>
      </c>
    </row>
    <row r="602" spans="2:2">
      <c r="B602" t="s">
        <v>626</v>
      </c>
    </row>
    <row r="603" spans="2:2">
      <c r="B603" t="s">
        <v>594</v>
      </c>
    </row>
    <row r="604" spans="2:2">
      <c r="B604" t="s">
        <v>595</v>
      </c>
    </row>
    <row r="605" spans="2:2">
      <c r="B605" t="s">
        <v>596</v>
      </c>
    </row>
    <row r="606" spans="2:2">
      <c r="B606" t="s">
        <v>597</v>
      </c>
    </row>
    <row r="607" spans="2:2">
      <c r="B607" t="s">
        <v>598</v>
      </c>
    </row>
    <row r="608" spans="2:2">
      <c r="B608" t="s">
        <v>599</v>
      </c>
    </row>
    <row r="609" spans="2:2">
      <c r="B609" t="s">
        <v>600</v>
      </c>
    </row>
    <row r="610" spans="2:2">
      <c r="B610" t="s">
        <v>601</v>
      </c>
    </row>
    <row r="611" spans="2:2">
      <c r="B611" t="s">
        <v>588</v>
      </c>
    </row>
    <row r="612" spans="2:2">
      <c r="B612" t="s">
        <v>589</v>
      </c>
    </row>
    <row r="613" spans="2:2">
      <c r="B613" t="s">
        <v>590</v>
      </c>
    </row>
    <row r="614" spans="2:2">
      <c r="B614" t="s">
        <v>591</v>
      </c>
    </row>
    <row r="615" spans="2:2">
      <c r="B615" t="s">
        <v>592</v>
      </c>
    </row>
    <row r="616" spans="2:2">
      <c r="B616" t="s">
        <v>732</v>
      </c>
    </row>
    <row r="617" spans="2:2">
      <c r="B617" t="s">
        <v>576</v>
      </c>
    </row>
    <row r="618" spans="2:2">
      <c r="B618" t="s">
        <v>700</v>
      </c>
    </row>
    <row r="619" spans="2:2">
      <c r="B619" t="s">
        <v>701</v>
      </c>
    </row>
    <row r="620" spans="2:2">
      <c r="B620" t="s">
        <v>641</v>
      </c>
    </row>
    <row r="621" spans="2:2">
      <c r="B621" t="s">
        <v>719</v>
      </c>
    </row>
    <row r="622" spans="2:2">
      <c r="B622" t="s">
        <v>602</v>
      </c>
    </row>
    <row r="623" spans="2:2">
      <c r="B623" t="s">
        <v>625</v>
      </c>
    </row>
    <row r="624" spans="2:2">
      <c r="B624" t="s">
        <v>626</v>
      </c>
    </row>
    <row r="625" spans="2:2">
      <c r="B625" t="s">
        <v>606</v>
      </c>
    </row>
    <row r="626" spans="2:2">
      <c r="B626" t="s">
        <v>607</v>
      </c>
    </row>
    <row r="627" spans="2:2">
      <c r="B627" t="s">
        <v>608</v>
      </c>
    </row>
    <row r="628" spans="2:2">
      <c r="B628" t="s">
        <v>609</v>
      </c>
    </row>
    <row r="629" spans="2:2">
      <c r="B629" t="s">
        <v>610</v>
      </c>
    </row>
    <row r="630" spans="2:2">
      <c r="B630" t="s">
        <v>585</v>
      </c>
    </row>
    <row r="631" spans="2:2">
      <c r="B631" t="s">
        <v>586</v>
      </c>
    </row>
    <row r="632" spans="2:2">
      <c r="B632" t="s">
        <v>587</v>
      </c>
    </row>
    <row r="633" spans="2:2">
      <c r="B633" t="s">
        <v>588</v>
      </c>
    </row>
    <row r="634" spans="2:2">
      <c r="B634" t="s">
        <v>589</v>
      </c>
    </row>
    <row r="635" spans="2:2">
      <c r="B635" t="s">
        <v>590</v>
      </c>
    </row>
    <row r="636" spans="2:2">
      <c r="B636" t="s">
        <v>591</v>
      </c>
    </row>
    <row r="637" spans="2:2">
      <c r="B637" t="s">
        <v>592</v>
      </c>
    </row>
    <row r="638" spans="2:2">
      <c r="B638" t="s">
        <v>732</v>
      </c>
    </row>
    <row r="639" spans="2:2">
      <c r="B639" t="s">
        <v>576</v>
      </c>
    </row>
    <row r="640" spans="2:2">
      <c r="B640" t="s">
        <v>702</v>
      </c>
    </row>
    <row r="641" spans="2:2">
      <c r="B641" t="s">
        <v>703</v>
      </c>
    </row>
    <row r="642" spans="2:2">
      <c r="B642" t="s">
        <v>641</v>
      </c>
    </row>
    <row r="643" spans="2:2">
      <c r="B643" t="s">
        <v>719</v>
      </c>
    </row>
    <row r="644" spans="2:2">
      <c r="B644" t="s">
        <v>602</v>
      </c>
    </row>
    <row r="645" spans="2:2">
      <c r="B645" t="s">
        <v>625</v>
      </c>
    </row>
    <row r="646" spans="2:2">
      <c r="B646" t="s">
        <v>626</v>
      </c>
    </row>
    <row r="647" spans="2:2">
      <c r="B647" t="s">
        <v>627</v>
      </c>
    </row>
    <row r="648" spans="2:2">
      <c r="B648" t="s">
        <v>612</v>
      </c>
    </row>
    <row r="649" spans="2:2">
      <c r="B649" t="s">
        <v>642</v>
      </c>
    </row>
    <row r="650" spans="2:2">
      <c r="B650" t="s">
        <v>614</v>
      </c>
    </row>
    <row r="651" spans="2:2">
      <c r="B651" t="s">
        <v>615</v>
      </c>
    </row>
    <row r="652" spans="2:2">
      <c r="B652" t="s">
        <v>712</v>
      </c>
    </row>
    <row r="653" spans="2:2">
      <c r="B653" t="s">
        <v>616</v>
      </c>
    </row>
    <row r="654" spans="2:2">
      <c r="B654" t="s">
        <v>587</v>
      </c>
    </row>
    <row r="655" spans="2:2">
      <c r="B655" t="s">
        <v>588</v>
      </c>
    </row>
    <row r="656" spans="2:2">
      <c r="B656" t="s">
        <v>589</v>
      </c>
    </row>
    <row r="657" spans="2:2">
      <c r="B657" t="s">
        <v>590</v>
      </c>
    </row>
    <row r="658" spans="2:2">
      <c r="B658" t="s">
        <v>591</v>
      </c>
    </row>
    <row r="659" spans="2:2">
      <c r="B659" t="s">
        <v>592</v>
      </c>
    </row>
    <row r="660" spans="2:2">
      <c r="B660" t="s">
        <v>732</v>
      </c>
    </row>
    <row r="661" spans="2:2">
      <c r="B661" t="s">
        <v>576</v>
      </c>
    </row>
    <row r="662" spans="2:2">
      <c r="B662" t="s">
        <v>704</v>
      </c>
    </row>
    <row r="663" spans="2:2">
      <c r="B663" t="s">
        <v>705</v>
      </c>
    </row>
    <row r="664" spans="2:2">
      <c r="B664" t="s">
        <v>641</v>
      </c>
    </row>
    <row r="665" spans="2:2">
      <c r="B665" t="s">
        <v>719</v>
      </c>
    </row>
    <row r="666" spans="2:2">
      <c r="B666" t="s">
        <v>602</v>
      </c>
    </row>
    <row r="667" spans="2:2">
      <c r="B667" t="s">
        <v>625</v>
      </c>
    </row>
    <row r="668" spans="2:2">
      <c r="B668" t="s">
        <v>626</v>
      </c>
    </row>
    <row r="669" spans="2:2">
      <c r="B669" t="s">
        <v>630</v>
      </c>
    </row>
    <row r="670" spans="2:2">
      <c r="B670" t="s">
        <v>618</v>
      </c>
    </row>
    <row r="671" spans="2:2">
      <c r="B671" t="s">
        <v>635</v>
      </c>
    </row>
    <row r="672" spans="2:2">
      <c r="B672" t="s">
        <v>584</v>
      </c>
    </row>
    <row r="673" spans="2:2">
      <c r="B673" t="s">
        <v>711</v>
      </c>
    </row>
    <row r="674" spans="2:2">
      <c r="B674" t="s">
        <v>585</v>
      </c>
    </row>
    <row r="675" spans="2:2">
      <c r="B675" t="s">
        <v>586</v>
      </c>
    </row>
    <row r="676" spans="2:2">
      <c r="B676" t="s">
        <v>587</v>
      </c>
    </row>
    <row r="677" spans="2:2">
      <c r="B677" t="s">
        <v>588</v>
      </c>
    </row>
    <row r="678" spans="2:2">
      <c r="B678" t="s">
        <v>589</v>
      </c>
    </row>
    <row r="679" spans="2:2">
      <c r="B679" t="s">
        <v>590</v>
      </c>
    </row>
    <row r="680" spans="2:2">
      <c r="B680" t="s">
        <v>591</v>
      </c>
    </row>
    <row r="681" spans="2:2">
      <c r="B681" t="s">
        <v>592</v>
      </c>
    </row>
    <row r="682" spans="2:2">
      <c r="B682" t="s">
        <v>732</v>
      </c>
    </row>
    <row r="683" spans="2:2">
      <c r="B683" t="s">
        <v>576</v>
      </c>
    </row>
    <row r="684" spans="2:2">
      <c r="B684" t="s">
        <v>706</v>
      </c>
    </row>
    <row r="685" spans="2:2">
      <c r="B685" t="s">
        <v>707</v>
      </c>
    </row>
    <row r="686" spans="2:2">
      <c r="B686" t="s">
        <v>641</v>
      </c>
    </row>
    <row r="687" spans="2:2">
      <c r="B687" t="s">
        <v>720</v>
      </c>
    </row>
    <row r="688" spans="2:2">
      <c r="B688" t="s">
        <v>593</v>
      </c>
    </row>
    <row r="689" spans="2:2">
      <c r="B689" t="s">
        <v>625</v>
      </c>
    </row>
    <row r="690" spans="2:2">
      <c r="B690" t="s">
        <v>626</v>
      </c>
    </row>
    <row r="691" spans="2:2">
      <c r="B691" t="s">
        <v>581</v>
      </c>
    </row>
    <row r="692" spans="2:2">
      <c r="B692" t="s">
        <v>620</v>
      </c>
    </row>
    <row r="693" spans="2:2">
      <c r="B693" t="s">
        <v>621</v>
      </c>
    </row>
    <row r="694" spans="2:2">
      <c r="B694" t="s">
        <v>584</v>
      </c>
    </row>
    <row r="695" spans="2:2">
      <c r="B695" t="s">
        <v>622</v>
      </c>
    </row>
    <row r="696" spans="2:2">
      <c r="B696" t="s">
        <v>643</v>
      </c>
    </row>
    <row r="697" spans="2:2">
      <c r="B697" t="s">
        <v>586</v>
      </c>
    </row>
    <row r="698" spans="2:2">
      <c r="B698" t="s">
        <v>587</v>
      </c>
    </row>
    <row r="699" spans="2:2">
      <c r="B699" t="s">
        <v>588</v>
      </c>
    </row>
    <row r="700" spans="2:2">
      <c r="B700" t="s">
        <v>589</v>
      </c>
    </row>
    <row r="701" spans="2:2">
      <c r="B701" t="s">
        <v>590</v>
      </c>
    </row>
    <row r="702" spans="2:2">
      <c r="B702" t="s">
        <v>591</v>
      </c>
    </row>
    <row r="703" spans="2:2">
      <c r="B703" t="s">
        <v>592</v>
      </c>
    </row>
    <row r="704" spans="2:2">
      <c r="B704" t="s">
        <v>732</v>
      </c>
    </row>
    <row r="705" spans="2:2">
      <c r="B705" t="s">
        <v>733</v>
      </c>
    </row>
    <row r="706" spans="2:2">
      <c r="B706" t="s">
        <v>577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D_技能效果表</vt:lpstr>
      <vt:lpstr>定义</vt:lpstr>
      <vt:lpstr>API说明</vt:lpstr>
      <vt:lpstr>框选定义匹配</vt:lpstr>
      <vt:lpstr>Sheet2</vt:lpstr>
      <vt:lpstr>条件列表(待定)</vt:lpstr>
      <vt:lpstr>说明(作废)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WZB</cp:lastModifiedBy>
  <dcterms:created xsi:type="dcterms:W3CDTF">2006-09-16T00:00:00Z</dcterms:created>
  <dcterms:modified xsi:type="dcterms:W3CDTF">2016-08-15T11:54:26Z</dcterms:modified>
</cp:coreProperties>
</file>